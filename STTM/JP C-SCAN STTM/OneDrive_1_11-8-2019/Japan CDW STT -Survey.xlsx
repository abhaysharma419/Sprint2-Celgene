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an\History Remediation\Mapping\Veeva SIT Mapping\History STTMs Update\"/>
    </mc:Choice>
  </mc:AlternateContent>
  <xr:revisionPtr revIDLastSave="0" documentId="13_ncr:1_{2874066A-4133-46C7-B394-96AD54360BB5}" xr6:coauthVersionLast="41" xr6:coauthVersionMax="41" xr10:uidLastSave="{00000000-0000-0000-0000-000000000000}"/>
  <bookViews>
    <workbookView xWindow="-120" yWindow="-120" windowWidth="29040" windowHeight="15990" activeTab="6" xr2:uid="{00000000-000D-0000-FFFF-FFFF00000000}"/>
  </bookViews>
  <sheets>
    <sheet name="D_MKT_QSTN" sheetId="4" r:id="rId1"/>
    <sheet name="D_MKT_ANSR" sheetId="3" r:id="rId2"/>
    <sheet name="D_MKT_SRVY" sheetId="1" r:id="rId3"/>
    <sheet name="D_MKT_SRVY_EXT_ATTR" sheetId="7" r:id="rId4"/>
    <sheet name="F_HCP_PCPT_ANSR" sheetId="9" r:id="rId5"/>
    <sheet name="D_MKT_SRVY_TRGT" sheetId="2" r:id="rId6"/>
    <sheet name="XREF_MKT_SRVY_QSTN_ANSR" sheetId="6" r:id="rId7"/>
  </sheets>
  <definedNames>
    <definedName name="_xlnm._FilterDatabase" localSheetId="3" hidden="1">D_MKT_SRVY_EXT_ATTR!$A$16:$H$64</definedName>
    <definedName name="_xlnm._FilterDatabase" localSheetId="4" hidden="1">F_HCP_PCPT_ANSR!$A$16:$Q$31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7" i="9" l="1"/>
  <c r="S26" i="9"/>
  <c r="S24" i="9"/>
  <c r="S30" i="9"/>
  <c r="R30" i="9"/>
  <c r="R18" i="9"/>
  <c r="S17" i="9"/>
  <c r="R17" i="9"/>
  <c r="G56" i="7" l="1"/>
  <c r="G53" i="7"/>
  <c r="G52" i="7"/>
  <c r="G75" i="2" l="1"/>
  <c r="G7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src = stg_tms_hcp_par/ans</t>
        </r>
      </text>
    </comment>
    <comment ref="L2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1) src = stg_tms_hcp_par/ans</t>
        </r>
      </text>
    </comment>
    <comment ref="L2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src = stg_tms_hcp_par/ans</t>
        </r>
      </text>
    </comment>
  </commentList>
</comments>
</file>

<file path=xl/sharedStrings.xml><?xml version="1.0" encoding="utf-8"?>
<sst xmlns="http://schemas.openxmlformats.org/spreadsheetml/2006/main" count="1838" uniqueCount="385">
  <si>
    <t>Pipeline Name:</t>
  </si>
  <si>
    <t>Task Name:</t>
  </si>
  <si>
    <t xml:space="preserve">Project Folder: </t>
  </si>
  <si>
    <t>cdw-us-lvl2</t>
  </si>
  <si>
    <t xml:space="preserve">SnapLogic File Target(s) </t>
  </si>
  <si>
    <t>NA</t>
  </si>
  <si>
    <t>Source(s) / DB connection:</t>
  </si>
  <si>
    <t>SALESFORCE</t>
  </si>
  <si>
    <t>Target(s) / DB connection:</t>
  </si>
  <si>
    <t xml:space="preserve">Order By: </t>
  </si>
  <si>
    <t>Filter(s):</t>
  </si>
  <si>
    <t xml:space="preserve">Parameters: </t>
  </si>
  <si>
    <t>cycl_time_id,scen_id</t>
  </si>
  <si>
    <t>Error Handling:</t>
  </si>
  <si>
    <t>Load/Update Strategy:</t>
  </si>
  <si>
    <t>SCD Type 1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</si>
  <si>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</si>
  <si>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</si>
  <si>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</si>
  <si>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</si>
  <si>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</si>
  <si>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</si>
  <si>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Source Table</t>
  </si>
  <si>
    <t>Source Column</t>
  </si>
  <si>
    <t>Source Data Type</t>
  </si>
  <si>
    <t>Transformation Logic (Type I)</t>
  </si>
  <si>
    <t>Error Handling Logic</t>
  </si>
  <si>
    <t>D_MKT_SRVY</t>
  </si>
  <si>
    <t>SRVY_SK</t>
  </si>
  <si>
    <t>Integer</t>
  </si>
  <si>
    <t>New record: increment target value by 1 for each new record.  If table is empty, start with 1.</t>
  </si>
  <si>
    <t>SRVY_ID</t>
  </si>
  <si>
    <t>Varchar(20)</t>
  </si>
  <si>
    <t>Straight Move</t>
  </si>
  <si>
    <t>id</t>
  </si>
  <si>
    <t>SRVY_CD</t>
  </si>
  <si>
    <t>SRVY_DS</t>
  </si>
  <si>
    <t>NM</t>
  </si>
  <si>
    <t>varchar(255)</t>
  </si>
  <si>
    <t>SEG_IND</t>
  </si>
  <si>
    <t>NULL</t>
  </si>
  <si>
    <t>VALD_IND</t>
  </si>
  <si>
    <t>INDV_TYP_IND</t>
  </si>
  <si>
    <t>EFF_STRT_DT</t>
  </si>
  <si>
    <t>Date</t>
  </si>
  <si>
    <t>Set to SystemDate Time</t>
  </si>
  <si>
    <t>strt_dt_vod__c</t>
  </si>
  <si>
    <t>EFF_END_DT</t>
  </si>
  <si>
    <t>end_dt_vod__c</t>
  </si>
  <si>
    <t>ACTV_FLAG</t>
  </si>
  <si>
    <t>actv_flag</t>
  </si>
  <si>
    <t>CYCL_TIME_ID</t>
  </si>
  <si>
    <t>SCEN_ID</t>
  </si>
  <si>
    <t>INRT_BY</t>
  </si>
  <si>
    <t>Set To System User Name</t>
  </si>
  <si>
    <t>Set to current SystemDate Time for updated record.</t>
  </si>
  <si>
    <t>MODF_BY</t>
  </si>
  <si>
    <t>DSRC_SK</t>
  </si>
  <si>
    <t>INTEGER</t>
  </si>
  <si>
    <t>coalesce(DSRC_SK,-1)</t>
  </si>
  <si>
    <t>jp-rs-cdw-jp-01</t>
  </si>
  <si>
    <t>TRGT_FILE_REF_NM</t>
  </si>
  <si>
    <t>TRGT_TYPE_TXT</t>
  </si>
  <si>
    <t>Varchar(255)</t>
  </si>
  <si>
    <t>SOURCE TO TARGET - SUMMARY</t>
  </si>
  <si>
    <t>cycl_time_id,scen_id,inrt_by,modf_by</t>
  </si>
  <si>
    <t>1. UPSERT
2. UPPER(ISDELETED) = 'FALSE'</t>
  </si>
  <si>
    <t>D_MKT_SRVY_TRGT</t>
  </si>
  <si>
    <t>New record: increment target value by ID for each new record.  If table is empty, start with 1.</t>
  </si>
  <si>
    <t>BP_SK</t>
  </si>
  <si>
    <t>PSET_SK</t>
  </si>
  <si>
    <t>DTL_GRP_PSET_SK</t>
  </si>
  <si>
    <t>SLS_WRKR_SK</t>
  </si>
  <si>
    <t>OWNR_SLS_WRKR_SK</t>
  </si>
  <si>
    <t>USER_SLS_WRKR_SK</t>
  </si>
  <si>
    <t>LANG_SK</t>
  </si>
  <si>
    <t>SRVY_TRGT_TERR_INTGT_ID</t>
  </si>
  <si>
    <t>CTRY_CD</t>
  </si>
  <si>
    <t>VARCHAR(2)</t>
  </si>
  <si>
    <t>coalesce(bms_ctry_cd_bms_shr__c,'-1') end as CTRY_CD</t>
  </si>
  <si>
    <t>SRVY_TRGT_ID</t>
  </si>
  <si>
    <t>straight move</t>
  </si>
  <si>
    <t>SRC_SRVY_ID</t>
  </si>
  <si>
    <t>SRVY_vod__c</t>
  </si>
  <si>
    <t>SRC_ACCT_ID</t>
  </si>
  <si>
    <t>ACCT_vod__c</t>
  </si>
  <si>
    <t>SRC_PRD_ID</t>
  </si>
  <si>
    <t>PRD_vod__c</t>
  </si>
  <si>
    <t>PRD_DTL_GRP_ID</t>
  </si>
  <si>
    <t>DTL_GRP_vod__c</t>
  </si>
  <si>
    <t>SREP_ID</t>
  </si>
  <si>
    <t>USER_vod__c</t>
  </si>
  <si>
    <t>SRC_EMP_ID</t>
  </si>
  <si>
    <t>EMP_vod__c</t>
  </si>
  <si>
    <t>OWNERID</t>
  </si>
  <si>
    <t>REC_TYPE_ID</t>
  </si>
  <si>
    <t>recordtypeid</t>
  </si>
  <si>
    <t>SRVY_TRGT_COCH_ID</t>
  </si>
  <si>
    <t>BP_DISP_NM</t>
  </si>
  <si>
    <t>VARCHAR(255)</t>
  </si>
  <si>
    <t>SRVY_TRGT_COCH_PROF_NM</t>
  </si>
  <si>
    <t>PROF_NM_vod__c</t>
  </si>
  <si>
    <t>SRVY_TRGT_COCH_RCALL_TS</t>
  </si>
  <si>
    <t>TIMESTAMP</t>
  </si>
  <si>
    <t>timestamp</t>
  </si>
  <si>
    <t>SRVY_TRGT_COCH_RVW_DT</t>
  </si>
  <si>
    <t>DATE</t>
  </si>
  <si>
    <t>RVW_DT_vod__c</t>
  </si>
  <si>
    <t>SRVY_TRGT_COCH_SENT_RPT_TS</t>
  </si>
  <si>
    <t>SRVY_TRGT_COCH_CPLT_TS</t>
  </si>
  <si>
    <t>SRVY_TRGT_ACCT_TYPE_TXT</t>
  </si>
  <si>
    <t>VARCHAR(32768)</t>
  </si>
  <si>
    <t>varchar(32768)</t>
  </si>
  <si>
    <t>SRVY_TRGT_NOT_CPLT_FLAG</t>
  </si>
  <si>
    <t>SRVY_TRGT_NM</t>
  </si>
  <si>
    <t>SRVY_TRGT_SEG_SCR_TXT</t>
  </si>
  <si>
    <t>SCR_vod__c</t>
  </si>
  <si>
    <t>numeric(18,9)</t>
  </si>
  <si>
    <t>SRVY_TRGT_STA_TXT</t>
  </si>
  <si>
    <t>STA_vod__c</t>
  </si>
  <si>
    <t>SRVY_TRGT_TERR_LIST_TXT</t>
  </si>
  <si>
    <t>TERR_LIST_vod__c</t>
  </si>
  <si>
    <t>SRVY_TRGT_TERR_NM</t>
  </si>
  <si>
    <t>TERR_vod__c</t>
  </si>
  <si>
    <t>SRVY_TRGT_CTRY_CD</t>
  </si>
  <si>
    <t>VARCHAR(20)</t>
  </si>
  <si>
    <t>null</t>
  </si>
  <si>
    <t>SRVY_TRGT_CTRY_CHK_TXT</t>
  </si>
  <si>
    <t>SRVY_TRGT_CREA_TS</t>
  </si>
  <si>
    <t>SHR_TEAM_NM</t>
  </si>
  <si>
    <t>SHR_TEAM_vod__c</t>
  </si>
  <si>
    <t>RPT_STA_TXT</t>
  </si>
  <si>
    <t>no_autoassign_vod__c</t>
  </si>
  <si>
    <t>varchar(5)</t>
  </si>
  <si>
    <t>ISDELETED</t>
  </si>
  <si>
    <t>VARCHAR(5)</t>
  </si>
  <si>
    <t>cycl_time_id</t>
  </si>
  <si>
    <t>scen_id</t>
  </si>
  <si>
    <t>VARCHAR(50)</t>
  </si>
  <si>
    <t>P_CDW_jp_d_csmr_seg</t>
  </si>
  <si>
    <t>T_CDW_jp_d_csmr_seg</t>
  </si>
  <si>
    <t>LAST_REF_DATE</t>
  </si>
  <si>
    <t>LAST_VWD_DATE</t>
  </si>
  <si>
    <t>CHLD_ACCT_ID</t>
  </si>
  <si>
    <t>EMP_CMT_TXT</t>
  </si>
  <si>
    <t>Varchar(80)</t>
  </si>
  <si>
    <t>SBMT_DT</t>
  </si>
  <si>
    <t>SCD Type II</t>
  </si>
  <si>
    <t>Null</t>
  </si>
  <si>
    <t>D_MKT_ANSR</t>
  </si>
  <si>
    <t>ANSR_ID</t>
  </si>
  <si>
    <t>ANSR_DS</t>
  </si>
  <si>
    <t>OPEN_END_IND</t>
  </si>
  <si>
    <t>9999-12-31'</t>
  </si>
  <si>
    <t>Case when lower(ISDELETED)='false' then 1 else 0</t>
  </si>
  <si>
    <t>varchar(50)</t>
  </si>
  <si>
    <t>D_MKT_QSTN</t>
  </si>
  <si>
    <t>QSTN_ID</t>
  </si>
  <si>
    <t>ID</t>
  </si>
  <si>
    <t>VARCHAR(18)</t>
  </si>
  <si>
    <t>QSTN_TXT</t>
  </si>
  <si>
    <t>Varchar(300)</t>
  </si>
  <si>
    <t>TXT_VOD__C</t>
  </si>
  <si>
    <t>QSTN_TYPE_TXT</t>
  </si>
  <si>
    <t>QSTN_CATG_TXT</t>
  </si>
  <si>
    <t>QSTN_SUB_CATG_TXT</t>
  </si>
  <si>
    <t>DERV_IND</t>
  </si>
  <si>
    <t>RT_QSTN_DS</t>
  </si>
  <si>
    <t>QSTN_CD</t>
  </si>
  <si>
    <t>SRC_LANG_ID</t>
  </si>
  <si>
    <t>qstn_sk</t>
  </si>
  <si>
    <t>ansr_sk</t>
  </si>
  <si>
    <t>OwnerId</t>
  </si>
  <si>
    <t>Comments</t>
  </si>
  <si>
    <t>srvy_sk</t>
  </si>
  <si>
    <t>SRC_QSTN_ID</t>
  </si>
  <si>
    <t>SRC_ANSR_ID</t>
  </si>
  <si>
    <t>SRC_SRVY_CD</t>
  </si>
  <si>
    <t>VARCHAR(30)</t>
  </si>
  <si>
    <t>nm</t>
  </si>
  <si>
    <t>QSTN_SEQ_NUM</t>
  </si>
  <si>
    <t>ord_vod__C</t>
  </si>
  <si>
    <t>numeric(27,9)</t>
  </si>
  <si>
    <t>P_CDW_jp_xref_mkt_qstn_val_ans_HCP, P_CDW_jp_xref_mkt_qstn_val_ans_CSMR</t>
  </si>
  <si>
    <t>T_CDW_jp_xref_mkt_qstn_val_ans_HCP, T_CDW_jp_xref_mkt_qstn_val_ans_CSMR</t>
  </si>
  <si>
    <t>D_MKT_SRVY_EXT_ATTR</t>
  </si>
  <si>
    <t> NA</t>
  </si>
  <si>
    <t>New record: increment target value by 1 for each new record.  If table is empty, start with 1.</t>
  </si>
  <si>
    <t>SRC_PRD_DTL_GRP_ID</t>
  </si>
  <si>
    <t>dtl_grp_vod__c</t>
  </si>
  <si>
    <t>prd_vod__c</t>
  </si>
  <si>
    <t>SRVY_EXTL_ID</t>
  </si>
  <si>
    <t>extl_id_vod__c</t>
  </si>
  <si>
    <t>BP_TYPE_LIST_TXT</t>
  </si>
  <si>
    <t>acct_type_vod__c</t>
  </si>
  <si>
    <t>SRVY_LANG_TXT</t>
  </si>
  <si>
    <t>lang_vod__c</t>
  </si>
  <si>
    <t>SRVY_QUEUE_NM</t>
  </si>
  <si>
    <t>SRVY_PROF_NM</t>
  </si>
  <si>
    <t>prof_nm_vod__c</t>
  </si>
  <si>
    <t>SRVY_SEGN_NM</t>
  </si>
  <si>
    <t>seg_vod__c</t>
  </si>
  <si>
    <t>SRVY_ASGNT_TYPE_TXT</t>
  </si>
  <si>
    <t>asgnt_type_vod__c</t>
  </si>
  <si>
    <t>SRVY_CHNL_NM</t>
  </si>
  <si>
    <t>chnl_vod__c</t>
  </si>
  <si>
    <t>SRVY_PRD_LIST_TXT</t>
  </si>
  <si>
    <t>SRVY_STA_TXT</t>
  </si>
  <si>
    <t>sta_vod__c</t>
  </si>
  <si>
    <t>SRVY_TERR_NM</t>
  </si>
  <si>
    <t>terr_vod__c</t>
  </si>
  <si>
    <t>SRVY_TERR_LIST_TXT</t>
  </si>
  <si>
    <t>terr_list_vod__c</t>
  </si>
  <si>
    <t>SRVY_REGN_TXT</t>
  </si>
  <si>
    <t>regn_vod__c</t>
  </si>
  <si>
    <t>SRVY_SF_LIST_TXT</t>
  </si>
  <si>
    <t>SRVY_SCR_MIN_NUM</t>
  </si>
  <si>
    <t>min_scr_vod__c</t>
  </si>
  <si>
    <t>SRVY_SCR_MAX_NUM</t>
  </si>
  <si>
    <t>max_scr_vod__c</t>
  </si>
  <si>
    <t>SRVY_EXPR_FLAG</t>
  </si>
  <si>
    <t>expr_vod__c</t>
  </si>
  <si>
    <t>SRVY_OPEN_FLAG</t>
  </si>
  <si>
    <t>open_vod__c</t>
  </si>
  <si>
    <t>SRVY_AUTO_TRGT_FLAG</t>
  </si>
  <si>
    <t>autotarget_vod__c</t>
  </si>
  <si>
    <t xml:space="preserve">Case when lower(STG.autotarget_vod__c)='true' then 1 else 0 </t>
  </si>
  <si>
    <t>SRVY_READ_ONLY_FLAG</t>
  </si>
  <si>
    <t>readonly_srvy_load_bms_us__c</t>
  </si>
  <si>
    <t>SRVY_STRT_DT</t>
  </si>
  <si>
    <t>SRVY_END_DT</t>
  </si>
  <si>
    <t>shr_team_vod__c</t>
  </si>
  <si>
    <t>LOAD_TRGT_FLAG</t>
  </si>
  <si>
    <t>load_trgt_bms_us__c</t>
  </si>
  <si>
    <t>INDV_NPSBR_FLAG</t>
  </si>
  <si>
    <t>indv_nprs_bms_us__c</t>
  </si>
  <si>
    <t>INDV_PSBR_FLAG</t>
  </si>
  <si>
    <t>indv_pres_bms_us__c</t>
  </si>
  <si>
    <t>ORGZN_FLAG</t>
  </si>
  <si>
    <t>orgzn_bms_us__c</t>
  </si>
  <si>
    <t>N/A</t>
  </si>
  <si>
    <t>cdw-jp-lvl2</t>
  </si>
  <si>
    <t>STG_VEEVA_QSTN_VOD__C</t>
  </si>
  <si>
    <t>STG_VEEVA_SRVY_QSTN_VOD__C</t>
  </si>
  <si>
    <t>stg_veeva_SRVY_vod__c</t>
  </si>
  <si>
    <t>stg_veeva_srvy_vod__c</t>
  </si>
  <si>
    <t>stg_veeva_SRVY_TRGT_vod__c</t>
  </si>
  <si>
    <t>D_DSRC</t>
  </si>
  <si>
    <t>XREF_PRD_ITEM_EXTL_IDNTY</t>
  </si>
  <si>
    <t>d_lang</t>
  </si>
  <si>
    <t>D_SLS_WRKR_EXTL_IDNTY</t>
  </si>
  <si>
    <t>xref_prd_item_extl_idnty</t>
  </si>
  <si>
    <t>D_LANG</t>
  </si>
  <si>
    <t>MKT_QSTN_SK</t>
  </si>
  <si>
    <t>CHAR(2)</t>
  </si>
  <si>
    <t>D_CTRY</t>
  </si>
  <si>
    <t>LAST_VW_DATE</t>
  </si>
  <si>
    <t>CHAR(1)</t>
  </si>
  <si>
    <t>SRC_ACTV_FLAG</t>
  </si>
  <si>
    <t>INRT_TS</t>
  </si>
  <si>
    <t>INRT_BY_NM</t>
  </si>
  <si>
    <t>MODF_TS</t>
  </si>
  <si>
    <t>MODF_BY_NM</t>
  </si>
  <si>
    <t>VARCHAR(25)</t>
  </si>
  <si>
    <t>VARCHAR(250)</t>
  </si>
  <si>
    <t>MKT_ANSR_SK</t>
  </si>
  <si>
    <t>ANSR_CATG_TXT</t>
  </si>
  <si>
    <t>MKT_SRVY_SK</t>
  </si>
  <si>
    <t>EMP_CMT_ENBL_DS</t>
  </si>
  <si>
    <t>LAST_REF_DT</t>
  </si>
  <si>
    <t>LAST_VW_DT</t>
  </si>
  <si>
    <t>MKT_SRVY_EXT_ATTR_SK</t>
  </si>
  <si>
    <t>SRC_OWNR_ID</t>
  </si>
  <si>
    <t>MKT_SRVY_TRGT_SK</t>
  </si>
  <si>
    <t>BP_PAR_SK</t>
  </si>
  <si>
    <t>D_CHLD_ACCT</t>
  </si>
  <si>
    <t>LGCY_REF_ID</t>
  </si>
  <si>
    <t>OWNR_PROF_CD</t>
  </si>
  <si>
    <t>HCO_HCP_AFLN_NM</t>
  </si>
  <si>
    <t>PAT_DS</t>
  </si>
  <si>
    <t>SRC_INRT_TS</t>
  </si>
  <si>
    <t>SRC_MODF_TS</t>
  </si>
  <si>
    <t>SRC_INRT_BY_NM</t>
  </si>
  <si>
    <t>SRC_MODF_BY_NM</t>
  </si>
  <si>
    <t>SRVY_TRGT_SCR_NUM</t>
  </si>
  <si>
    <t>CreatedById</t>
  </si>
  <si>
    <t>CreatedDate</t>
  </si>
  <si>
    <t>LastModifiedById</t>
  </si>
  <si>
    <t>LastModifiedDate</t>
  </si>
  <si>
    <t>XREF_MKT_SRVY_QSTN_ANSR</t>
  </si>
  <si>
    <t>cdw-ous-lvl2</t>
  </si>
  <si>
    <t>ous-rs-cdw-br-01</t>
  </si>
  <si>
    <t>Source Table (2)</t>
  </si>
  <si>
    <t>Source Table (3)</t>
  </si>
  <si>
    <t>Source Table (5)</t>
  </si>
  <si>
    <t>STG_VEEVA_QSTN_RESP_VOD__C</t>
  </si>
  <si>
    <t>STRAIGHT MOVE</t>
  </si>
  <si>
    <t>QSTN_RESP_ID</t>
  </si>
  <si>
    <t xml:space="preserve">	CTRY_CD</t>
  </si>
  <si>
    <t>INDV_TYPE_IND</t>
  </si>
  <si>
    <t>ANSR_OPTN_TXT</t>
  </si>
  <si>
    <t>ANSR_TXT</t>
  </si>
  <si>
    <t>Straight move</t>
  </si>
  <si>
    <t>ORD_NUM</t>
  </si>
  <si>
    <t>NUMERIC(27,9)</t>
  </si>
  <si>
    <t>Set to '9999-12-31'</t>
  </si>
  <si>
    <t>STG_VEEVA_MTCHL_CNST_VOD__C</t>
  </si>
  <si>
    <t>Case when lower(stg.ISDELETED)='true' then 1 else 0 end</t>
  </si>
  <si>
    <t>parameterize value- set  by the snaplogic pipeline</t>
  </si>
  <si>
    <t>SNRIO_ID</t>
  </si>
  <si>
    <t>F_HCP_PRTCT_ANSR</t>
  </si>
  <si>
    <t>1.Left join D_CTRY CTRY on upper(CTRY.ctry_cd)='BR'
2.FETCH CTRY_CD
3.COALESCE(CTRY_CD,'-1')</t>
  </si>
  <si>
    <t>1.LEFT OUTER JOIN D_DSRC  ON trim(upper(DSRC_DS))='INTERACT'
2.coalesce(DSRC_SK,-1)</t>
  </si>
  <si>
    <t>COCH_NOT_AUTO_ASGN_FLAG</t>
  </si>
  <si>
    <t>D_CHLD_ACCT/D_BP_EXTL_IDNTY</t>
  </si>
  <si>
    <t>chld_acct_vod__c</t>
  </si>
  <si>
    <t>lgcy_ref_id_bms__c</t>
  </si>
  <si>
    <t>coch_vod__c</t>
  </si>
  <si>
    <t>terr_intgt_id_bms_shr__c</t>
  </si>
  <si>
    <t>rcall_datetime_vod__c</t>
  </si>
  <si>
    <t>cplt_datetime_vod__c</t>
  </si>
  <si>
    <t>sent_to_emp_datetime_vod__c</t>
  </si>
  <si>
    <t>ownr_prof_cd_bms_apac__c</t>
  </si>
  <si>
    <t>acct_disp_nm_vod__c</t>
  </si>
  <si>
    <t>hco_hcp_afln_nm_jp__c</t>
  </si>
  <si>
    <t>trgt_type_vod__c</t>
  </si>
  <si>
    <t>rpt_sta_vod__c</t>
  </si>
  <si>
    <t>pat_ds__c</t>
  </si>
  <si>
    <t>lastreferenceddate</t>
  </si>
  <si>
    <t>lastvieweddate</t>
  </si>
  <si>
    <t>sbmt_dt_bms__c</t>
  </si>
  <si>
    <t>not_cplt_vod__c</t>
  </si>
  <si>
    <t>emp_cmt_vod__c</t>
  </si>
  <si>
    <t>enbl_emp_cmt_vod__c</t>
  </si>
  <si>
    <t>MKT_SRVY_EFF_STRT_DT</t>
  </si>
  <si>
    <t>MKT_SRVY_EFF_END_DT</t>
  </si>
  <si>
    <t>Hardcoded to 'JP'</t>
  </si>
  <si>
    <t>Hardcoded to NULL</t>
  </si>
  <si>
    <t>ANSR_CHOICE_VOD__C</t>
  </si>
  <si>
    <t>Set to 9999-12-31</t>
  </si>
  <si>
    <t>LASTREFERENCEDDATE</t>
  </si>
  <si>
    <t>LASTVIEWEDDATE</t>
  </si>
  <si>
    <t>CASE WHEN LOWER(STG.ISDELETED)='FALSE' THEN 1 ELSE 0 END AS SRC_ACTV_FLAG</t>
  </si>
  <si>
    <t>LANG_VOD__C</t>
  </si>
  <si>
    <t>Case when upper(stg.ISDELETED)='FALSE' then 1 else 0 end as SRC_ACTV_FLAG</t>
  </si>
  <si>
    <t>Harcoded as NULL</t>
  </si>
  <si>
    <t>TRGT_FILE_REF_NM_BMS__C</t>
  </si>
  <si>
    <t>TRGT_TYPE__C</t>
  </si>
  <si>
    <t>ENBL_EMP_CMT_VOD__C</t>
  </si>
  <si>
    <t>STRT_DT_VOD__C</t>
  </si>
  <si>
    <t>END_DT_VOD__C</t>
  </si>
  <si>
    <t>Hardcoded to JP</t>
  </si>
  <si>
    <t>SRVY_TRGT_VOD__C</t>
  </si>
  <si>
    <t>Harcoded to NULL</t>
  </si>
  <si>
    <t>COALESCE(Dcml_vod__c::text,'')||COALESCE(Resp_vod__c::text,'')||COALESCE(Num_vod__c::text,'')||COALESCE(Datetime_vod__c::text,'')||COALESCE(Dt_vod__c::text,'')||COALESCE(s.txt_vod__c::text,'')</t>
  </si>
  <si>
    <t>Case when trgt.srvy_trgt_acct_type_txt ilike '%individual%' then 'Y' else 'N' end AS INDV_TYPE_IND</t>
  </si>
  <si>
    <t>case when lower(s.ISDELETED)='true' then 1 else 0 end AS SRC_ACTV_FLAG</t>
  </si>
  <si>
    <t>JP' hardcoded</t>
  </si>
  <si>
    <t>JP'</t>
  </si>
  <si>
    <t>ansr_choice_vod__c</t>
  </si>
  <si>
    <t>1.LEFT OUTER JOIN JP2A_CDW.D_DSRC LKP2 ON UPPER(LKP2.DSRC_NM) = 'INTERACT'
2.COALESCE(LKP2.DSRC_SK,-1) AS DSRC_SK
For historical data:
COALESCE(lkp2.DSRC_SK,-1) AS DSRC_SK
from jp1A_STG.STG_VEEVA_QSTN_VOD__C stg
LEFT OUTER JOIN jp2a_cdw.D_DSRC LKP2  on UPPER(LKP2.DSRC_NM)='INTERACT'</t>
  </si>
  <si>
    <t>1.LEFT OUTER JOIN JP2A_CDW.D_DSRC LKP2 ON UPPER(LKP2.DSRC_NM) = 'INTERACT'
2.COALESCE(LKP2.DSRC_SK,-1) AS DSRC_SK
For historical data:
COALESCE(lkp2.DSRC_SK,-1) AS DSRC_SK
FROM jp1A_STG.STG_VEEVA_QSTN_VOD__C stg
LEFT OUTER JOIN jp2a_cdw.D_DSRC LKP2 ON upper(LKP2.DSRC_NM) = 'INTERACT'</t>
  </si>
  <si>
    <t>1.LEFT OUTER JOIN JP2A_CDW.D_DSRC LKP2 ON UPPER(LKP2.DSRC_NM) = 'INTERACT'
2.COALESCE(LKP2.DSRC_SK,-1) AS DSRC_SK
For historical data:
D_DSRC.DSRC_SK AS DSRC_SK
FROM JP1A_STG.stg_veeva_SRVY_vod__c STG
LEFT JOIN JP2A_CDW.D_DSRC ON UPPER(D_DSRC.DSRC_CD) = 'INTERACT'</t>
  </si>
  <si>
    <t>1.left outer join jp2a_cdw.d_mkt_srvy lkp1 on lkp1.srvy_id = stg.id
2.Case when stg.id is null then null else coalesce(lkp1.mkt_srvy_sk,-1) end as srvy_sk
For historical data:
Case when stg.id is null then null else coalesce(lkp1.mkt_srvy_sk,-1) end as srvy_sk
From jp1a_stg.stg_veeva_srvy_vod__c stg
left outer join jp2a_cdw.d_mkt_srvy lkp1 on lkp1.srvy_id = stg.id</t>
  </si>
  <si>
    <t>1.Left outer join jp2a_cdw.xref_prd_item_extl_idnty lkp2 on lkp2.src_prd_id = stg.prd_vod__c
2.Case when stg.prd_vod__c is null then null else coalesce(lkp2.pset_sk, -1) end as pset_sk
For historical data:
Case when stg.prd_vod__c is null then null else coalesce(lkp2.pset_sk, -1) end as pset_sk
From jp1a_stg.stg_veeva_srvy_vod__c stg
Left outer join jp2a_cdw.xref_prd_item_extl_idnty lkp2 on lkp2.src_prd_id = stg.prd_vod__c</t>
  </si>
  <si>
    <t>1.Left outer join jp2a_cdw.xref_prd_item_extl_idnty lkp3 on lkp3.src_prd_id = stg.dtl_grp_vod__c
2.Case when stg.dtl_grp_vod__c is null then null else coalesce(lkp3.pset_sk, -1) end as dtl_grp_pset_sk
For historical data:
Case when stg.dtl_grp_vod__c is null then null else coalesce(lkp3.pset_sk, -1) end as dtl_grp_pset_sk
From jp1a_stg.stg_veeva_srvy_vod__c stg
Left outer join jp2a_cdw.xref_prd_item_extl_idnty lkp3 on lkp3.src_prd_id = stg.dtl_grp_vod__c</t>
  </si>
  <si>
    <t>1.left outer join jp2a_cdw.d_sls_wrkr_extl_idnty lkp4 on stg.ownerid = lkp4.extl_idnty_val_txt
2.Case when stg.ownerid is null then null else coalesce(lkp4.sls_wrkr_sk , -1) end as OWNR_SLS_WRKR_SK
For historical data:
Case when stg.ownerid is null then null else coalesce(lkp4.sls_wrkr_sk , -1) end as OWNR_SLS_WRKR_SK
From jp1a_stg.stg_veeva_srvy_vod__c stg
left outer join jp2a_cdw.d_sls_wrkr_extl_idnty lkp4 on stg.ownerid = lkp4.extl_idnty_val_txt</t>
  </si>
  <si>
    <t>1.left outer join jp2a_cdw.d_lang lkp5 on UPPER(lkp5.lang_cd) = UPPER(stg.lang_vod__c)
2.Case when stg.lang_vod__c is null then null else coalesce(lkp5.lang_sk,-1) end as lang_sk
For historical data:
Case when stg.lang_vod__c is null then null else coalesce(lkp5.lang_sk,-1) end as lang_sk
From jp1a_stg.stg_veeva_srvy_vod__c stg
left outer join jp2a_cdw.d_lang lkp5 on UPPER(lkp5.lang_cd) = UPPER(stg.lang_vod__c)</t>
  </si>
  <si>
    <t>1.left outer join jp2a_cdw.d_dsrc lkp6 on upper(lkp6.dsrc_cd) = 'INTERACT'
2.coalesce(lkp6.dsrc_sk,-1)
For historical data:
coalesce(lkp6.dsrc_sk,-1)
From jp1a_stg.stg_veeva_srvy_vod__c stg
left outer join jp2a_cdw.d_dsrc lkp6 on upper(lkp6.dsrc_cd) = 'INTERACT'</t>
  </si>
  <si>
    <t>1.left join jp2a_cdw.d_mkt_srvy_trgt trgt on trgt.srvy_trgt_id = s.srvy_trgt_vod__c
2.case when srvy_trgt_vod__c is null then null else coalesce(trgt.mkt_srvy_trgt_sk, -1) end  AS MKT_SRVY_TRGT_SK
For historical data:
case when srvy_trgt_vod__c is null then null else coalesce(trgt.mkt_srvy_trgt_sk, -1) end  AS MKT_SRVY_TRGT_SK
from jp1a_stg.STG_VEEVA_QSTN_RESP_VOD__C s 
left join jp2a_cdw.d_mkt_srvy_trgt trgt on trgt.srvy_trgt_id = s.srvy_trgt_vod__c</t>
  </si>
  <si>
    <t>1.left outer join jp2a_cdw.d_dsrc lkp6 on upper(lkp6.dsrc_cd) = 'INTERACT'
2.coalesce(lkp6.dsrc_sk,-1)
For historical data:
coalesce(LKP2.DSRC_SK,-1) as DSRC_SK
from jp1a_stg.STG_VEEVA_QSTN_RESP_VOD__C s 
LEFT OUTER JOIN jp2a_cdw.D_DSRC LKP2  on upper(LKP2.dsrc_cd)='INTERACT'</t>
  </si>
  <si>
    <t>Join Stage table with D_CHLD_ACCT on 
Stg.Child_Account_vod__c = D_CHLD_ACCT.CHLD_ACCT_ID
if found return D_CHLD_ACCT.BP_SK 
if not found then join d_bp_extl_idnty
on d_bp_extl_idnty.bp_extl_idnty_val_txt = stg.Acct_vod__c
return d_bp_extl_idnty.BP_SK
For historical data:
Case when stg.ACCT_vod__c is null then null else COALESCE(DCA.BP_SK,DBEI.BP_SK,-1) end AS BP_SK
FROM JP1A_STG.stg_veeva_SRVY_TRGT_vod__c STG
LEFT JOIN JP2A_CDW.hist_xref_acct_bp DCA ON STG.ACCT_vod__c = DCA.ACCT_ID</t>
  </si>
  <si>
    <t>Join Stage table with D_CHLD_ACCT on 
Stg.chld_acct_vod__c = D_CHLD_ACCT.CHLD_ACCT_ID
if found return D_CHLD_ACCT.BP_PAR_SK respectively;
if not found then null
For historical data:
Case when stg.ACCT_vod__c is null then null else COALESCE(DCA.BP_PAR_SK,-1) end AS BP_PAR_SK
       'cdwjpetl01' AS modf_by_nm
FROM JP1A_STG.stg_veeva_SRVY_TRGT_vod__c STG
  LEFT JOIN JP2A_CDW.hist_xref_acct_bp DCA ON STG.ACCT_vod__c = DCA.ACCT_ID</t>
  </si>
  <si>
    <t>Lookup on D_MKT_SRVY on stg_veeva_srvy_trgt_vod__c.srvy_vod__c=d_mkt_srvy.srvy_id, if srvy_id is null then populate null, if match not found then populate -1
For historical data:
Case when stg.srvy_vod__c is null then null else COALESCE(DMS.MKT_SRVY_SK,-1) end AS MKT_SRVY_SK
FROM JP1A_STG.stg_veeva_SRVY_TRGT_vod__c STG
LEFT JOIN JP2A_CDW.D_MKT_SRVY DMS ON STG.srvy_vod__c = dms.srvy_id</t>
  </si>
  <si>
    <t xml:space="preserve">left outer join xref_prd_item_extl_idnty lkp5 on stg.PRD_VOD__C=lkp5.src_prd_id 
For historical data:
Case when stg.PRD_VOD__C is null then null else COALESCE(lkp5.PSET_SK,-1) end AS PSET_SK
FROM JP1A_STG.stg_veeva_SRVY_TRGT_vod__c STG
LEFT JOIN JP2A_CDW.xref_prd_item_extl_idnty lkp5 ON stg.PRD_VOD__C = lkp5.src_prd_id
</t>
  </si>
  <si>
    <t>left outer join xref_prd_item_extl_idnty lkp6 on stg.dtl_grp_VOD__C=lkp6.src_prd_id 
For historical data:
Case when stg.dtl_grp_VOD__C is null then null else COALESCE(lkp6.PSET_SK,-1) end AS DTL_GRP_PSET_SK
FROM JP1A_STG.stg_veeva_SRVY_TRGT_vod__c STG
LEFT JOIN JP2A_CDW.xref_prd_item_extl_idnty lkp6 ON stg.dtl_grp_VOD__C = lkp6.src_prd_id</t>
  </si>
  <si>
    <t xml:space="preserve">left outer join  D_SLS_WRKR_EXTL_IDNTY lkp8 ON stg.EMP_vod__c=lkp8.extl_idnty_val_txt and upper(LKP8.extl_idnty_type_cd)='INTERACT'  and lkp8.src_actv_ind 
='T'
For historical data:
Case when stg.emp_vod__c is null then null else COALESCE(lkp8.SLS_WRKR_SK,-1) end  AS SLS_WRKR_SK
FROM JP1A_STG.stg_veeva_SRVY_TRGT_vod__c STG
  LEFT JOIN JP2A_CDW.D_SLS_WRKR_EXTL_IDNTY lkp8
         ON stg.EMP_vod__c = lkp8.extl_idnty_val_txt
        AND UPPER (LKP8.extl_idnty_type_cd) = 'INTERACT'
        AND lkp8.src_actv_ind = 'T'
</t>
  </si>
  <si>
    <t>left outer join  D_SLS_WRKR_EXTL_IDNTY lkp9 ON stg.USER_VOD__C=lkp9.extl_idnty_val_txt and upper(LKP9.extl_idnty_type_cd)='INTERACT'  and lkp9.src_actv_ind ='T'
For historical data:
Case when stg.USER_VOD__C is null then null else COALESCE(lkp9.SLS_WRKR_SK,-1) end  AS USER_SLS_WRKR_SK
FROM JP1A_STG.stg_veeva_SRVY_TRGT_vod__c STG
LEFT JOIN JP2A_CDW.D_SLS_WRKR_EXTL_IDNTY lkp9
         ON stg.USER_VOD__C = lkp9.extl_idnty_val_txt
        AND UPPER (LKP9.extl_idnty_type_cd) = 'INTERACT'
        AND lkp9.src_actv_ind = 'T'</t>
  </si>
  <si>
    <t>left outer join  D_SLS_WRKR_EXTL_IDNTY lkp7 ON stg.OWNERID=lkp7.extl_idnty_val_txt and upper(LKP7.extl_idnty_type_cd)='INTERACT'  and lkp7.src_actv_ind ='T'
For historical data:
Case when stg.OWNERID is null then null else COALESCE(LKP7.SLS_WRKR_SK,-1) end AS OWNR_SLS_WRKR_SK
FROM JP1A_STG.stg_veeva_SRVY_TRGT_vod__c STG
  LEFT JOIN JP2A_CDW.D_SLS_WRKR_EXTL_IDNTY lkp7
         ON stg.OWNERID = lkp7.extl_idnty_val_txt
        AND UPPER (LKP7.extl_idnty_type_cd) = 'INTERACT'
        AND lkp7.src_actv_ind = 'T'</t>
  </si>
  <si>
    <t>LEFT OUTER JOIN D_LANG LKP10 on upper(LKP10.LANG_ID)=upper(stg.lang_vod__c)
For historical data:
Case when stg.lang_vod__c is null then null else COALESCE(LKP10.LANG_SK,-1) end AS LANG_SK
FROM JP1A_STG.stg_veeva_SRVY_TRGT_vod__c STG
LEFT JOIN JP2A_CDW.D_LANG LKP10 ON UPPER(LKP10.LANG_CD) = UPPER(stg.lang_vod__c)</t>
  </si>
  <si>
    <t>LEFT OUTER JOIN D_DSRC LKP  on DSRC_ID='INTERACT'
For historical data:
LKP.DSRC_SK
LEFT JOIN JP2A_CDW.D_DSRC LKP ON UPPER (LKP.DSRC_CD) = 'INTERACT'</t>
  </si>
  <si>
    <t xml:space="preserve">Look up on D_MKT_SRVY where STG_VEEVA_SRVY_QSTN_VOD__C.srvy_vod__c=d_mkt_srvy.srvy_id and fetch srvy_sk; if srvy_cd is null populate null, id match not found then populate -1
For historical data:
case when s.srvy_vod__c is null then null else coalesce(d_mkt_srvy.mkt_srvy_sk,-1) end As MKT_SRVY_SK
from jp1a_stg.STG_VEEVA_SRVY_QSTN_VOD__C s
left join jp2a_cdw.D_MKT_SRVY d_mkt_srvy on s.srvy_vod__c=d_mkt_srvy.srvy_id
</t>
  </si>
  <si>
    <t>Lookup on d_mkt_qstn on d_mkt_qstn.qstn_id=STG_VEEVA_SRVY_QSTN_VOD__C.id, if qstn_id is null then populate null, if match not found then populate -1
For historical data:
case when s.qstn_vod__c is null then null  else coalesce(d_mkt_qstn.mkt_qstn_sk,-1) end As MKT_QSTN_SK
from jp1a_stg.STG_VEEVA_SRVY_QSTN_VOD__C s
left join jp2a_cdw.d_mkt_qstn d_mkt_qstn on s.qstn_vod__c=d_mkt_qstn.qstn_id</t>
  </si>
  <si>
    <t xml:space="preserve">Lookup on d_mkt_ansr on d_mkt_ansr.ansr_ds=STG_VEEVA_SRVY_QSTN_VOD__C.ansr_choice_vod__c , if ansr_ds is null then populate null, if match not found then populate -1
For historical data:
case when s.ansr_choice_vod__c is null then null else  coalesce(d_mkt_ansr.mkt_ansr_sk,-1) end As MKT_ANSR_SK
from jp1a_stg.STG_VEEVA_SRVY_QSTN_VOD__C s
left join jp2a_cdw.d_mkt_ansr d_mkt_ansr on d_mkt_ansr.ansr_ds=s.ansr_choice_vod__c 
</t>
  </si>
  <si>
    <t>LEFT OUTER JOIN D_DSRC  on DSRC_CD=''INTERACT''
For historical data:
coalesce(LKP2.DSRC_SK,-1) as DSRC_SK
LEFT OUTER JOIN jp2a_cdw.D_DSRC LKP2  on upper(LKP2.dsrc_cd)='INTERACT'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</si>
</sst>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8"/>
      <color theme="3"/>
      <name val="Tahoma"/>
      <family val="2"/>
    </font>
    <font>
      <sz val="8"/>
      <name val="Tahoma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1" fillId="8" borderId="0" applyNumberFormat="0" applyBorder="0" applyAlignment="0" applyProtection="0"/>
    <xf numFmtId="0" fontId="10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9" fillId="0" borderId="0" applyNumberFormat="0" applyFill="0" applyBorder="0" applyAlignment="0" applyProtection="0"/>
  </cellStyleXfs>
  <cellXfs count="98">
    <xf numFmtId="0" fontId="0" fillId="0" borderId="0" xfId="0"/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wrapText="1"/>
    </xf>
    <xf numFmtId="0" fontId="6" fillId="0" borderId="0" xfId="0" applyFont="1" applyAlignment="1">
      <alignment horizontal="left" vertical="top" wrapText="1"/>
    </xf>
    <xf numFmtId="0" fontId="0" fillId="7" borderId="2" xfId="0" applyFill="1" applyBorder="1" applyAlignment="1">
      <alignment wrapText="1"/>
    </xf>
    <xf numFmtId="0" fontId="4" fillId="9" borderId="2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wrapText="1"/>
    </xf>
    <xf numFmtId="0" fontId="4" fillId="5" borderId="7" xfId="0" applyFont="1" applyFill="1" applyBorder="1" applyAlignment="1">
      <alignment horizontal="left" wrapText="1"/>
    </xf>
    <xf numFmtId="0" fontId="9" fillId="0" borderId="0" xfId="0" applyFont="1"/>
    <xf numFmtId="0" fontId="5" fillId="0" borderId="0" xfId="0" applyFont="1"/>
    <xf numFmtId="0" fontId="6" fillId="0" borderId="2" xfId="0" applyFont="1" applyFill="1" applyBorder="1" applyAlignment="1">
      <alignment vertical="top"/>
    </xf>
    <xf numFmtId="0" fontId="5" fillId="0" borderId="0" xfId="0" applyFont="1" applyFill="1"/>
    <xf numFmtId="0" fontId="4" fillId="3" borderId="7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2" xfId="0" applyBorder="1"/>
    <xf numFmtId="0" fontId="5" fillId="0" borderId="2" xfId="0" applyFont="1" applyFill="1" applyBorder="1" applyAlignment="1"/>
    <xf numFmtId="0" fontId="6" fillId="0" borderId="2" xfId="0" applyFont="1" applyBorder="1" applyAlignment="1">
      <alignment horizontal="left" vertical="top" wrapText="1"/>
    </xf>
    <xf numFmtId="21" fontId="0" fillId="0" borderId="0" xfId="0" applyNumberFormat="1"/>
    <xf numFmtId="0" fontId="4" fillId="4" borderId="6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Fill="1" applyBorder="1" applyAlignment="1"/>
    <xf numFmtId="0" fontId="4" fillId="0" borderId="2" xfId="0" applyFont="1" applyBorder="1" applyAlignment="1">
      <alignment vertical="center" wrapText="1"/>
    </xf>
    <xf numFmtId="0" fontId="16" fillId="3" borderId="7" xfId="0" applyFont="1" applyFill="1" applyBorder="1" applyAlignment="1">
      <alignment vertical="center" wrapText="1"/>
    </xf>
    <xf numFmtId="0" fontId="16" fillId="4" borderId="7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0" fillId="0" borderId="0" xfId="0" applyFont="1"/>
    <xf numFmtId="0" fontId="17" fillId="6" borderId="2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14" fontId="5" fillId="0" borderId="2" xfId="0" applyNumberFormat="1" applyFont="1" applyFill="1" applyBorder="1" applyAlignment="1">
      <alignment wrapText="1"/>
    </xf>
    <xf numFmtId="0" fontId="0" fillId="0" borderId="2" xfId="0" applyFont="1" applyBorder="1"/>
    <xf numFmtId="0" fontId="17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0" fillId="0" borderId="0" xfId="0" applyFill="1"/>
    <xf numFmtId="14" fontId="0" fillId="0" borderId="2" xfId="0" applyNumberFormat="1" applyBorder="1"/>
    <xf numFmtId="0" fontId="9" fillId="0" borderId="2" xfId="0" applyFont="1" applyBorder="1" applyAlignment="1"/>
    <xf numFmtId="0" fontId="3" fillId="0" borderId="2" xfId="0" applyFont="1" applyFill="1" applyBorder="1" applyAlignment="1">
      <alignment horizontal="left" vertical="center" wrapText="1"/>
    </xf>
    <xf numFmtId="0" fontId="0" fillId="0" borderId="2" xfId="0" quotePrefix="1" applyBorder="1"/>
    <xf numFmtId="0" fontId="3" fillId="0" borderId="3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4" fillId="0" borderId="3" xfId="3" applyFont="1" applyBorder="1" applyAlignment="1">
      <alignment horizontal="right" vertical="center" wrapText="1"/>
    </xf>
    <xf numFmtId="0" fontId="14" fillId="0" borderId="5" xfId="3" applyFont="1" applyBorder="1" applyAlignment="1">
      <alignment horizontal="right" vertical="center" wrapText="1"/>
    </xf>
    <xf numFmtId="0" fontId="15" fillId="0" borderId="8" xfId="4" applyFont="1" applyFill="1" applyBorder="1" applyAlignment="1">
      <alignment horizontal="left" vertical="center" wrapText="1"/>
    </xf>
    <xf numFmtId="0" fontId="15" fillId="0" borderId="0" xfId="4" applyFont="1" applyFill="1" applyBorder="1" applyAlignment="1">
      <alignment horizontal="left" vertical="center" wrapText="1"/>
    </xf>
    <xf numFmtId="0" fontId="13" fillId="2" borderId="8" xfId="3" applyFont="1" applyFill="1" applyBorder="1" applyAlignment="1">
      <alignment horizontal="center"/>
    </xf>
    <xf numFmtId="0" fontId="13" fillId="2" borderId="0" xfId="3" applyFont="1" applyFill="1" applyBorder="1" applyAlignment="1">
      <alignment horizontal="center"/>
    </xf>
    <xf numFmtId="0" fontId="13" fillId="2" borderId="9" xfId="3" applyFont="1" applyFill="1" applyBorder="1" applyAlignment="1">
      <alignment horizontal="center"/>
    </xf>
    <xf numFmtId="0" fontId="13" fillId="2" borderId="1" xfId="3" applyFont="1" applyFill="1" applyBorder="1" applyAlignment="1">
      <alignment horizontal="center"/>
    </xf>
    <xf numFmtId="0" fontId="14" fillId="0" borderId="3" xfId="3" applyFont="1" applyFill="1" applyBorder="1" applyAlignment="1">
      <alignment horizontal="right" vertical="center" wrapText="1"/>
    </xf>
    <xf numFmtId="0" fontId="14" fillId="0" borderId="5" xfId="3" applyFont="1" applyFill="1" applyBorder="1" applyAlignment="1">
      <alignment horizontal="right" vertical="center" wrapText="1"/>
    </xf>
    <xf numFmtId="0" fontId="14" fillId="0" borderId="3" xfId="3" applyFont="1" applyBorder="1" applyAlignment="1">
      <alignment horizontal="right" vertical="top" wrapText="1"/>
    </xf>
    <xf numFmtId="0" fontId="14" fillId="0" borderId="5" xfId="3" applyFont="1" applyBorder="1" applyAlignment="1">
      <alignment horizontal="right" vertical="top" wrapText="1"/>
    </xf>
    <xf numFmtId="0" fontId="3" fillId="0" borderId="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top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</cellXfs>
  <cellStyles count="6">
    <cellStyle name="Hyperlink 3 3" xfId="5" xr:uid="{00000000-0005-0000-0000-000000000000}"/>
    <cellStyle name="Neutral 2" xfId="1" xr:uid="{00000000-0005-0000-0000-000001000000}"/>
    <cellStyle name="Normal" xfId="0" builtinId="0"/>
    <cellStyle name="Normal 2" xfId="4" xr:uid="{00000000-0005-0000-0000-000003000000}"/>
    <cellStyle name="Normal 2 2" xfId="2" xr:uid="{00000000-0005-0000-0000-000004000000}"/>
    <cellStyle name="Normal 4" xfId="3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10" zoomScaleNormal="100" workbookViewId="0">
      <selection activeCell="G20" sqref="G20"/>
    </sheetView>
  </sheetViews>
  <sheetFormatPr defaultColWidth="16.28515625" defaultRowHeight="15" x14ac:dyDescent="0.25"/>
  <cols>
    <col min="1" max="1" width="12.42578125" bestFit="1" customWidth="1"/>
    <col min="2" max="2" width="19.5703125" bestFit="1" customWidth="1"/>
    <col min="3" max="3" width="15.140625" bestFit="1" customWidth="1"/>
    <col min="4" max="4" width="24.140625" bestFit="1" customWidth="1"/>
    <col min="5" max="5" width="16.5703125" bestFit="1" customWidth="1"/>
    <col min="6" max="6" width="13.140625" bestFit="1" customWidth="1"/>
    <col min="7" max="7" width="66.140625" bestFit="1" customWidth="1"/>
    <col min="8" max="8" width="12.28515625" bestFit="1" customWidth="1"/>
  </cols>
  <sheetData>
    <row r="1" spans="1:8" x14ac:dyDescent="0.25">
      <c r="A1" s="55" t="s">
        <v>64</v>
      </c>
      <c r="B1" s="55"/>
      <c r="C1" s="55"/>
      <c r="D1" s="55"/>
      <c r="E1" s="55"/>
      <c r="F1" s="55"/>
      <c r="G1" s="55"/>
      <c r="H1" s="55"/>
    </row>
    <row r="2" spans="1:8" ht="15" customHeight="1" x14ac:dyDescent="0.25">
      <c r="A2" s="56" t="s">
        <v>0</v>
      </c>
      <c r="B2" s="57"/>
      <c r="C2" s="58"/>
      <c r="D2" s="52" t="s">
        <v>5</v>
      </c>
      <c r="E2" s="53"/>
      <c r="F2" s="53"/>
      <c r="G2" s="53"/>
      <c r="H2" s="54"/>
    </row>
    <row r="3" spans="1:8" ht="15" customHeight="1" x14ac:dyDescent="0.25">
      <c r="A3" s="56" t="s">
        <v>1</v>
      </c>
      <c r="B3" s="57"/>
      <c r="C3" s="58"/>
      <c r="D3" s="52" t="s">
        <v>5</v>
      </c>
      <c r="E3" s="53"/>
      <c r="F3" s="53"/>
      <c r="G3" s="53"/>
      <c r="H3" s="54"/>
    </row>
    <row r="4" spans="1:8" x14ac:dyDescent="0.25">
      <c r="A4" s="56" t="s">
        <v>2</v>
      </c>
      <c r="B4" s="57"/>
      <c r="C4" s="58"/>
      <c r="D4" s="52" t="s">
        <v>3</v>
      </c>
      <c r="E4" s="53"/>
      <c r="F4" s="53"/>
      <c r="G4" s="53"/>
      <c r="H4" s="54"/>
    </row>
    <row r="5" spans="1:8" ht="14.45" customHeight="1" x14ac:dyDescent="0.25">
      <c r="A5" s="56" t="s">
        <v>4</v>
      </c>
      <c r="B5" s="57"/>
      <c r="C5" s="58"/>
      <c r="D5" s="52" t="s">
        <v>5</v>
      </c>
      <c r="E5" s="53"/>
      <c r="F5" s="53"/>
      <c r="G5" s="53"/>
      <c r="H5" s="54"/>
    </row>
    <row r="6" spans="1:8" ht="14.45" customHeight="1" x14ac:dyDescent="0.25">
      <c r="A6" s="56" t="s">
        <v>6</v>
      </c>
      <c r="B6" s="57"/>
      <c r="C6" s="58"/>
      <c r="D6" s="59" t="s">
        <v>60</v>
      </c>
      <c r="E6" s="60"/>
      <c r="F6" s="60"/>
      <c r="G6" s="60"/>
      <c r="H6" s="61"/>
    </row>
    <row r="7" spans="1:8" ht="14.45" customHeight="1" x14ac:dyDescent="0.25">
      <c r="A7" s="56" t="s">
        <v>8</v>
      </c>
      <c r="B7" s="57"/>
      <c r="C7" s="58"/>
      <c r="D7" s="59" t="s">
        <v>60</v>
      </c>
      <c r="E7" s="60"/>
      <c r="F7" s="60"/>
      <c r="G7" s="60"/>
      <c r="H7" s="61"/>
    </row>
    <row r="8" spans="1:8" x14ac:dyDescent="0.25">
      <c r="A8" s="56" t="s">
        <v>9</v>
      </c>
      <c r="B8" s="57"/>
      <c r="C8" s="58"/>
      <c r="D8" s="52" t="s">
        <v>5</v>
      </c>
      <c r="E8" s="53"/>
      <c r="F8" s="53"/>
      <c r="G8" s="53"/>
      <c r="H8" s="54"/>
    </row>
    <row r="9" spans="1:8" x14ac:dyDescent="0.25">
      <c r="A9" s="56" t="s">
        <v>10</v>
      </c>
      <c r="B9" s="57"/>
      <c r="C9" s="58"/>
      <c r="D9" s="52" t="s">
        <v>5</v>
      </c>
      <c r="E9" s="53"/>
      <c r="F9" s="53"/>
      <c r="G9" s="53"/>
      <c r="H9" s="54"/>
    </row>
    <row r="10" spans="1:8" ht="15" customHeight="1" x14ac:dyDescent="0.25">
      <c r="A10" s="56" t="s">
        <v>11</v>
      </c>
      <c r="B10" s="57"/>
      <c r="C10" s="58"/>
      <c r="D10" s="56" t="s">
        <v>5</v>
      </c>
      <c r="E10" s="57"/>
      <c r="F10" s="57"/>
      <c r="G10" s="57"/>
      <c r="H10" s="58"/>
    </row>
    <row r="11" spans="1:8" x14ac:dyDescent="0.25">
      <c r="A11" s="56" t="s">
        <v>13</v>
      </c>
      <c r="B11" s="57"/>
      <c r="C11" s="58"/>
      <c r="D11" s="59" t="s">
        <v>5</v>
      </c>
      <c r="E11" s="60"/>
      <c r="F11" s="60"/>
      <c r="G11" s="60"/>
      <c r="H11" s="61"/>
    </row>
    <row r="12" spans="1:8" ht="14.45" customHeight="1" x14ac:dyDescent="0.25">
      <c r="A12" s="56" t="s">
        <v>14</v>
      </c>
      <c r="B12" s="57"/>
      <c r="C12" s="58"/>
      <c r="D12" s="62" t="s">
        <v>147</v>
      </c>
      <c r="E12" s="63"/>
      <c r="F12" s="63"/>
      <c r="G12" s="63"/>
      <c r="H12" s="64"/>
    </row>
    <row r="13" spans="1:8" x14ac:dyDescent="0.25">
      <c r="A13" s="56" t="s">
        <v>16</v>
      </c>
      <c r="B13" s="57"/>
      <c r="C13" s="58"/>
      <c r="D13" s="56"/>
      <c r="E13" s="57"/>
      <c r="F13" s="57"/>
      <c r="G13" s="57"/>
      <c r="H13" s="58"/>
    </row>
    <row r="14" spans="1:8" x14ac:dyDescent="0.25">
      <c r="A14" s="56" t="s">
        <v>17</v>
      </c>
      <c r="B14" s="57"/>
      <c r="C14" s="58"/>
      <c r="D14" s="59" t="s">
        <v>5</v>
      </c>
      <c r="E14" s="60"/>
      <c r="F14" s="60"/>
      <c r="G14" s="60"/>
      <c r="H14" s="61"/>
    </row>
    <row r="15" spans="1:8" x14ac:dyDescent="0.25">
      <c r="A15" s="55" t="s">
        <v>18</v>
      </c>
      <c r="B15" s="55"/>
      <c r="C15" s="55"/>
      <c r="D15" s="55"/>
      <c r="E15" s="55"/>
      <c r="F15" s="55"/>
      <c r="G15" s="55"/>
      <c r="H15" s="55"/>
    </row>
    <row r="16" spans="1:8" ht="26.25" x14ac:dyDescent="0.25">
      <c r="A16" s="18" t="s">
        <v>19</v>
      </c>
      <c r="B16" s="18" t="s">
        <v>20</v>
      </c>
      <c r="C16" s="18"/>
      <c r="D16" s="12" t="s">
        <v>22</v>
      </c>
      <c r="E16" s="12" t="s">
        <v>23</v>
      </c>
      <c r="F16" s="12" t="s">
        <v>24</v>
      </c>
      <c r="G16" s="13" t="s">
        <v>25</v>
      </c>
      <c r="H16" s="13" t="s">
        <v>26</v>
      </c>
    </row>
    <row r="17" spans="1:8" s="19" customFormat="1" ht="30" x14ac:dyDescent="0.25">
      <c r="A17" s="21" t="s">
        <v>156</v>
      </c>
      <c r="B17" s="21" t="s">
        <v>253</v>
      </c>
      <c r="C17" s="21" t="s">
        <v>58</v>
      </c>
      <c r="D17" s="21" t="s">
        <v>5</v>
      </c>
      <c r="E17" s="21" t="s">
        <v>5</v>
      </c>
      <c r="F17" s="21" t="s">
        <v>5</v>
      </c>
      <c r="G17" s="6" t="s">
        <v>30</v>
      </c>
      <c r="H17" s="21"/>
    </row>
    <row r="18" spans="1:8" s="19" customFormat="1" x14ac:dyDescent="0.25">
      <c r="A18" s="21" t="s">
        <v>156</v>
      </c>
      <c r="B18" s="21" t="s">
        <v>77</v>
      </c>
      <c r="C18" s="21" t="s">
        <v>254</v>
      </c>
      <c r="D18" s="21" t="s">
        <v>5</v>
      </c>
      <c r="E18" s="21" t="s">
        <v>5</v>
      </c>
      <c r="F18" s="21" t="s">
        <v>5</v>
      </c>
      <c r="G18" s="21" t="s">
        <v>336</v>
      </c>
      <c r="H18" s="21"/>
    </row>
    <row r="19" spans="1:8" ht="135" x14ac:dyDescent="0.25">
      <c r="A19" s="21" t="s">
        <v>156</v>
      </c>
      <c r="B19" s="21" t="s">
        <v>57</v>
      </c>
      <c r="C19" s="21" t="s">
        <v>58</v>
      </c>
      <c r="D19" s="21" t="s">
        <v>247</v>
      </c>
      <c r="E19" s="21" t="s">
        <v>57</v>
      </c>
      <c r="F19" s="21" t="s">
        <v>58</v>
      </c>
      <c r="G19" s="6" t="s">
        <v>360</v>
      </c>
      <c r="H19" s="21"/>
    </row>
    <row r="20" spans="1:8" s="5" customFormat="1" x14ac:dyDescent="0.25">
      <c r="A20" s="21" t="s">
        <v>156</v>
      </c>
      <c r="B20" s="21" t="s">
        <v>157</v>
      </c>
      <c r="C20" s="21" t="s">
        <v>125</v>
      </c>
      <c r="D20" s="21" t="s">
        <v>242</v>
      </c>
      <c r="E20" s="21" t="s">
        <v>158</v>
      </c>
      <c r="F20" s="21" t="s">
        <v>32</v>
      </c>
      <c r="G20" s="21" t="s">
        <v>33</v>
      </c>
      <c r="H20" s="21"/>
    </row>
    <row r="21" spans="1:8" s="5" customFormat="1" x14ac:dyDescent="0.25">
      <c r="A21" s="21" t="s">
        <v>156</v>
      </c>
      <c r="B21" s="21" t="s">
        <v>31</v>
      </c>
      <c r="C21" s="21" t="s">
        <v>125</v>
      </c>
      <c r="D21" s="21" t="s">
        <v>242</v>
      </c>
      <c r="E21" s="21" t="s">
        <v>5</v>
      </c>
      <c r="F21" s="21" t="s">
        <v>5</v>
      </c>
      <c r="G21" s="21" t="s">
        <v>337</v>
      </c>
      <c r="H21" s="21"/>
    </row>
    <row r="22" spans="1:8" x14ac:dyDescent="0.25">
      <c r="A22" s="21" t="s">
        <v>156</v>
      </c>
      <c r="B22" s="21" t="s">
        <v>169</v>
      </c>
      <c r="C22" s="21" t="s">
        <v>125</v>
      </c>
      <c r="D22" s="21" t="s">
        <v>242</v>
      </c>
      <c r="E22" s="21" t="s">
        <v>343</v>
      </c>
      <c r="F22" s="21" t="s">
        <v>5</v>
      </c>
      <c r="G22" s="21" t="s">
        <v>5</v>
      </c>
      <c r="H22" s="21"/>
    </row>
    <row r="23" spans="1:8" x14ac:dyDescent="0.25">
      <c r="A23" s="21" t="s">
        <v>156</v>
      </c>
      <c r="B23" s="21" t="s">
        <v>95</v>
      </c>
      <c r="C23" s="21" t="s">
        <v>125</v>
      </c>
      <c r="D23" s="21" t="s">
        <v>242</v>
      </c>
      <c r="E23" s="21" t="s">
        <v>96</v>
      </c>
      <c r="F23" s="21" t="s">
        <v>5</v>
      </c>
      <c r="G23" s="21" t="s">
        <v>5</v>
      </c>
      <c r="H23" s="21"/>
    </row>
    <row r="24" spans="1:8" s="5" customFormat="1" x14ac:dyDescent="0.25">
      <c r="A24" s="21" t="s">
        <v>156</v>
      </c>
      <c r="B24" s="21" t="s">
        <v>168</v>
      </c>
      <c r="C24" s="21" t="s">
        <v>99</v>
      </c>
      <c r="D24" s="21" t="s">
        <v>242</v>
      </c>
      <c r="E24" s="21" t="s">
        <v>179</v>
      </c>
      <c r="F24" s="21" t="s">
        <v>99</v>
      </c>
      <c r="G24" s="21" t="s">
        <v>33</v>
      </c>
      <c r="H24" s="21"/>
    </row>
    <row r="25" spans="1:8" s="5" customFormat="1" x14ac:dyDescent="0.25">
      <c r="A25" s="21" t="s">
        <v>156</v>
      </c>
      <c r="B25" s="21" t="s">
        <v>160</v>
      </c>
      <c r="C25" s="21" t="s">
        <v>111</v>
      </c>
      <c r="D25" s="21" t="s">
        <v>242</v>
      </c>
      <c r="E25" s="21" t="s">
        <v>162</v>
      </c>
      <c r="F25" s="21" t="s">
        <v>161</v>
      </c>
      <c r="G25" s="21" t="s">
        <v>33</v>
      </c>
      <c r="H25" s="21"/>
    </row>
    <row r="26" spans="1:8" s="5" customFormat="1" x14ac:dyDescent="0.25">
      <c r="A26" s="21" t="s">
        <v>156</v>
      </c>
      <c r="B26" s="21" t="s">
        <v>163</v>
      </c>
      <c r="C26" s="21" t="s">
        <v>263</v>
      </c>
      <c r="D26" s="21" t="s">
        <v>5</v>
      </c>
      <c r="E26" s="21" t="s">
        <v>5</v>
      </c>
      <c r="F26" s="21" t="s">
        <v>5</v>
      </c>
      <c r="G26" s="21" t="s">
        <v>40</v>
      </c>
      <c r="H26" s="21"/>
    </row>
    <row r="27" spans="1:8" s="5" customFormat="1" x14ac:dyDescent="0.25">
      <c r="A27" s="21" t="s">
        <v>156</v>
      </c>
      <c r="B27" s="21" t="s">
        <v>164</v>
      </c>
      <c r="C27" s="21" t="s">
        <v>263</v>
      </c>
      <c r="D27" s="21" t="s">
        <v>5</v>
      </c>
      <c r="E27" s="21" t="s">
        <v>5</v>
      </c>
      <c r="F27" s="21" t="s">
        <v>5</v>
      </c>
      <c r="G27" s="21" t="s">
        <v>40</v>
      </c>
      <c r="H27" s="21"/>
    </row>
    <row r="28" spans="1:8" s="5" customFormat="1" x14ac:dyDescent="0.25">
      <c r="A28" s="21" t="s">
        <v>156</v>
      </c>
      <c r="B28" s="21" t="s">
        <v>165</v>
      </c>
      <c r="C28" s="21" t="s">
        <v>138</v>
      </c>
      <c r="D28" s="21" t="s">
        <v>5</v>
      </c>
      <c r="E28" s="21" t="s">
        <v>5</v>
      </c>
      <c r="F28" s="21" t="s">
        <v>5</v>
      </c>
      <c r="G28" s="21" t="s">
        <v>40</v>
      </c>
      <c r="H28" s="21"/>
    </row>
    <row r="29" spans="1:8" s="5" customFormat="1" x14ac:dyDescent="0.25">
      <c r="A29" s="21" t="s">
        <v>156</v>
      </c>
      <c r="B29" s="21" t="s">
        <v>167</v>
      </c>
      <c r="C29" s="21" t="s">
        <v>264</v>
      </c>
      <c r="D29" s="21" t="s">
        <v>5</v>
      </c>
      <c r="E29" s="21" t="s">
        <v>5</v>
      </c>
      <c r="F29" s="21" t="s">
        <v>5</v>
      </c>
      <c r="G29" s="21" t="s">
        <v>40</v>
      </c>
      <c r="H29" s="21"/>
    </row>
    <row r="30" spans="1:8" s="5" customFormat="1" x14ac:dyDescent="0.25">
      <c r="A30" s="21" t="s">
        <v>156</v>
      </c>
      <c r="B30" s="21" t="s">
        <v>43</v>
      </c>
      <c r="C30" s="21" t="s">
        <v>106</v>
      </c>
      <c r="D30" s="21" t="s">
        <v>5</v>
      </c>
      <c r="E30" s="21" t="s">
        <v>5</v>
      </c>
      <c r="F30" s="21" t="s">
        <v>5</v>
      </c>
      <c r="G30" s="21" t="s">
        <v>45</v>
      </c>
      <c r="H30" s="21"/>
    </row>
    <row r="31" spans="1:8" s="5" customFormat="1" x14ac:dyDescent="0.25">
      <c r="A31" s="21" t="s">
        <v>156</v>
      </c>
      <c r="B31" s="21" t="s">
        <v>47</v>
      </c>
      <c r="C31" s="21" t="s">
        <v>106</v>
      </c>
      <c r="D31" s="21" t="s">
        <v>5</v>
      </c>
      <c r="E31" s="21" t="s">
        <v>5</v>
      </c>
      <c r="F31" s="21" t="s">
        <v>5</v>
      </c>
      <c r="G31" s="21" t="s">
        <v>339</v>
      </c>
      <c r="H31" s="21"/>
    </row>
    <row r="32" spans="1:8" s="5" customFormat="1" x14ac:dyDescent="0.25">
      <c r="A32" s="21" t="s">
        <v>156</v>
      </c>
      <c r="B32" s="21" t="s">
        <v>141</v>
      </c>
      <c r="C32" s="21" t="s">
        <v>106</v>
      </c>
      <c r="D32" s="21" t="s">
        <v>242</v>
      </c>
      <c r="E32" s="21" t="s">
        <v>328</v>
      </c>
      <c r="F32" s="21" t="s">
        <v>44</v>
      </c>
      <c r="G32" s="21" t="s">
        <v>5</v>
      </c>
      <c r="H32" s="21"/>
    </row>
    <row r="33" spans="1:8" s="5" customFormat="1" x14ac:dyDescent="0.25">
      <c r="A33" s="21" t="s">
        <v>156</v>
      </c>
      <c r="B33" s="21" t="s">
        <v>256</v>
      </c>
      <c r="C33" s="21" t="s">
        <v>106</v>
      </c>
      <c r="D33" s="21" t="s">
        <v>242</v>
      </c>
      <c r="E33" s="21" t="s">
        <v>329</v>
      </c>
      <c r="F33" s="21" t="s">
        <v>44</v>
      </c>
      <c r="G33" s="21" t="s">
        <v>5</v>
      </c>
      <c r="H33" s="21"/>
    </row>
    <row r="34" spans="1:8" s="5" customFormat="1" x14ac:dyDescent="0.25">
      <c r="A34" s="21" t="s">
        <v>156</v>
      </c>
      <c r="B34" s="21" t="s">
        <v>166</v>
      </c>
      <c r="C34" s="21" t="s">
        <v>257</v>
      </c>
      <c r="D34" s="21" t="s">
        <v>5</v>
      </c>
      <c r="E34" s="21" t="s">
        <v>5</v>
      </c>
      <c r="F34" s="21" t="s">
        <v>5</v>
      </c>
      <c r="G34" s="21" t="s">
        <v>40</v>
      </c>
      <c r="H34" s="21"/>
    </row>
    <row r="35" spans="1:8" s="5" customFormat="1" x14ac:dyDescent="0.25">
      <c r="A35" s="21" t="s">
        <v>156</v>
      </c>
      <c r="B35" s="21" t="s">
        <v>42</v>
      </c>
      <c r="C35" s="21" t="s">
        <v>257</v>
      </c>
      <c r="D35" s="21" t="s">
        <v>5</v>
      </c>
      <c r="E35" s="21" t="s">
        <v>5</v>
      </c>
      <c r="F35" s="21" t="s">
        <v>5</v>
      </c>
      <c r="G35" s="21" t="s">
        <v>40</v>
      </c>
      <c r="H35" s="21"/>
    </row>
    <row r="36" spans="1:8" s="5" customFormat="1" x14ac:dyDescent="0.25">
      <c r="A36" s="21" t="s">
        <v>156</v>
      </c>
      <c r="B36" s="21" t="s">
        <v>152</v>
      </c>
      <c r="C36" s="21" t="s">
        <v>257</v>
      </c>
      <c r="D36" s="21" t="s">
        <v>5</v>
      </c>
      <c r="E36" s="21" t="s">
        <v>5</v>
      </c>
      <c r="F36" s="21" t="s">
        <v>5</v>
      </c>
      <c r="G36" s="21" t="s">
        <v>40</v>
      </c>
      <c r="H36" s="21"/>
    </row>
    <row r="37" spans="1:8" s="5" customFormat="1" x14ac:dyDescent="0.25">
      <c r="A37" s="21" t="s">
        <v>156</v>
      </c>
      <c r="B37" s="21" t="s">
        <v>258</v>
      </c>
      <c r="C37" s="21" t="s">
        <v>58</v>
      </c>
      <c r="D37" s="21" t="s">
        <v>242</v>
      </c>
      <c r="E37" s="21" t="s">
        <v>134</v>
      </c>
      <c r="F37" s="21" t="s">
        <v>135</v>
      </c>
      <c r="G37" s="21" t="s">
        <v>344</v>
      </c>
      <c r="H37" s="21"/>
    </row>
    <row r="38" spans="1:8" s="5" customFormat="1" x14ac:dyDescent="0.25">
      <c r="A38" s="21" t="s">
        <v>156</v>
      </c>
      <c r="B38" s="21" t="s">
        <v>51</v>
      </c>
      <c r="C38" s="21" t="s">
        <v>58</v>
      </c>
      <c r="D38" s="21" t="s">
        <v>242</v>
      </c>
      <c r="E38" s="21" t="s">
        <v>51</v>
      </c>
      <c r="F38" s="21" t="s">
        <v>58</v>
      </c>
      <c r="G38" s="21" t="s">
        <v>81</v>
      </c>
      <c r="H38" s="21"/>
    </row>
    <row r="39" spans="1:8" s="5" customFormat="1" x14ac:dyDescent="0.25">
      <c r="A39" s="21" t="s">
        <v>156</v>
      </c>
      <c r="B39" s="21" t="s">
        <v>52</v>
      </c>
      <c r="C39" s="21" t="s">
        <v>58</v>
      </c>
      <c r="D39" s="21" t="s">
        <v>242</v>
      </c>
      <c r="E39" s="21" t="s">
        <v>52</v>
      </c>
      <c r="F39" s="21" t="s">
        <v>58</v>
      </c>
      <c r="G39" s="21" t="s">
        <v>81</v>
      </c>
      <c r="H39" s="21"/>
    </row>
    <row r="40" spans="1:8" s="5" customFormat="1" x14ac:dyDescent="0.25">
      <c r="A40" s="21" t="s">
        <v>156</v>
      </c>
      <c r="B40" s="21" t="s">
        <v>259</v>
      </c>
      <c r="C40" s="21" t="s">
        <v>103</v>
      </c>
      <c r="D40" s="21" t="s">
        <v>5</v>
      </c>
      <c r="E40" s="21" t="s">
        <v>5</v>
      </c>
      <c r="F40" s="21" t="s">
        <v>5</v>
      </c>
      <c r="G40" s="21" t="s">
        <v>55</v>
      </c>
      <c r="H40" s="21"/>
    </row>
    <row r="41" spans="1:8" s="20" customFormat="1" x14ac:dyDescent="0.25">
      <c r="A41" s="21" t="s">
        <v>156</v>
      </c>
      <c r="B41" s="21" t="s">
        <v>260</v>
      </c>
      <c r="C41" s="21" t="s">
        <v>138</v>
      </c>
      <c r="D41" s="21" t="s">
        <v>242</v>
      </c>
      <c r="E41" s="21" t="s">
        <v>53</v>
      </c>
      <c r="F41" s="21" t="s">
        <v>125</v>
      </c>
      <c r="G41" s="21" t="s">
        <v>81</v>
      </c>
      <c r="H41" s="21"/>
    </row>
    <row r="42" spans="1:8" s="5" customFormat="1" x14ac:dyDescent="0.25">
      <c r="A42" s="21" t="s">
        <v>156</v>
      </c>
      <c r="B42" s="21" t="s">
        <v>261</v>
      </c>
      <c r="C42" s="21" t="s">
        <v>103</v>
      </c>
      <c r="D42" s="21" t="s">
        <v>5</v>
      </c>
      <c r="E42" s="21" t="s">
        <v>5</v>
      </c>
      <c r="F42" s="21" t="s">
        <v>5</v>
      </c>
      <c r="G42" s="21" t="s">
        <v>55</v>
      </c>
      <c r="H42" s="21"/>
    </row>
    <row r="43" spans="1:8" s="5" customFormat="1" x14ac:dyDescent="0.25">
      <c r="A43" s="21" t="s">
        <v>156</v>
      </c>
      <c r="B43" s="21" t="s">
        <v>262</v>
      </c>
      <c r="C43" s="21" t="s">
        <v>138</v>
      </c>
      <c r="D43" s="21" t="s">
        <v>242</v>
      </c>
      <c r="E43" s="21" t="s">
        <v>56</v>
      </c>
      <c r="F43" s="21" t="s">
        <v>155</v>
      </c>
      <c r="G43" s="21" t="s">
        <v>81</v>
      </c>
      <c r="H43" s="21"/>
    </row>
  </sheetData>
  <mergeCells count="28">
    <mergeCell ref="D7:H7"/>
    <mergeCell ref="D8:H8"/>
    <mergeCell ref="D9:H9"/>
    <mergeCell ref="D10:H10"/>
    <mergeCell ref="D11:H11"/>
    <mergeCell ref="A15:H15"/>
    <mergeCell ref="D12:H12"/>
    <mergeCell ref="D13:H13"/>
    <mergeCell ref="D14:H14"/>
    <mergeCell ref="A12:C12"/>
    <mergeCell ref="A13:C13"/>
    <mergeCell ref="A14:C14"/>
    <mergeCell ref="A10:C10"/>
    <mergeCell ref="A11:C11"/>
    <mergeCell ref="A7:C7"/>
    <mergeCell ref="A8:C8"/>
    <mergeCell ref="A9:C9"/>
    <mergeCell ref="D4:H4"/>
    <mergeCell ref="D5:H5"/>
    <mergeCell ref="D6:H6"/>
    <mergeCell ref="A4:C4"/>
    <mergeCell ref="A5:C5"/>
    <mergeCell ref="A6:C6"/>
    <mergeCell ref="D2:H2"/>
    <mergeCell ref="D3:H3"/>
    <mergeCell ref="A1:H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7" zoomScaleNormal="100" workbookViewId="0">
      <selection activeCell="G20" sqref="G20"/>
    </sheetView>
  </sheetViews>
  <sheetFormatPr defaultColWidth="16.28515625" defaultRowHeight="15" x14ac:dyDescent="0.25"/>
  <cols>
    <col min="2" max="2" width="18.85546875" customWidth="1"/>
    <col min="4" max="4" width="24.140625" bestFit="1" customWidth="1"/>
    <col min="5" max="5" width="20.7109375" bestFit="1" customWidth="1"/>
    <col min="6" max="6" width="16.28515625" customWidth="1"/>
    <col min="7" max="7" width="61.42578125" customWidth="1"/>
  </cols>
  <sheetData>
    <row r="1" spans="1:8" x14ac:dyDescent="0.25">
      <c r="A1" s="55" t="s">
        <v>64</v>
      </c>
      <c r="B1" s="55"/>
      <c r="C1" s="55"/>
      <c r="D1" s="55"/>
      <c r="E1" s="55"/>
      <c r="F1" s="55"/>
      <c r="G1" s="55"/>
      <c r="H1" s="55"/>
    </row>
    <row r="2" spans="1:8" ht="15" customHeight="1" x14ac:dyDescent="0.25">
      <c r="A2" s="56" t="s">
        <v>0</v>
      </c>
      <c r="B2" s="57"/>
      <c r="C2" s="58"/>
      <c r="D2" s="52" t="s">
        <v>5</v>
      </c>
      <c r="E2" s="53"/>
      <c r="F2" s="53"/>
      <c r="G2" s="53"/>
      <c r="H2" s="54"/>
    </row>
    <row r="3" spans="1:8" ht="15" customHeight="1" x14ac:dyDescent="0.25">
      <c r="A3" s="56" t="s">
        <v>1</v>
      </c>
      <c r="B3" s="57"/>
      <c r="C3" s="58"/>
      <c r="D3" s="52" t="s">
        <v>5</v>
      </c>
      <c r="E3" s="53"/>
      <c r="F3" s="53"/>
      <c r="G3" s="53"/>
      <c r="H3" s="54"/>
    </row>
    <row r="4" spans="1:8" x14ac:dyDescent="0.25">
      <c r="A4" s="56" t="s">
        <v>2</v>
      </c>
      <c r="B4" s="57"/>
      <c r="C4" s="58"/>
      <c r="D4" s="52" t="s">
        <v>3</v>
      </c>
      <c r="E4" s="53"/>
      <c r="F4" s="53"/>
      <c r="G4" s="53"/>
      <c r="H4" s="54"/>
    </row>
    <row r="5" spans="1:8" ht="14.45" customHeight="1" x14ac:dyDescent="0.25">
      <c r="A5" s="56" t="s">
        <v>4</v>
      </c>
      <c r="B5" s="57"/>
      <c r="C5" s="58"/>
      <c r="D5" s="52" t="s">
        <v>5</v>
      </c>
      <c r="E5" s="53"/>
      <c r="F5" s="53"/>
      <c r="G5" s="53"/>
      <c r="H5" s="54"/>
    </row>
    <row r="6" spans="1:8" ht="14.45" customHeight="1" x14ac:dyDescent="0.25">
      <c r="A6" s="56" t="s">
        <v>6</v>
      </c>
      <c r="B6" s="57"/>
      <c r="C6" s="58"/>
      <c r="D6" s="59" t="s">
        <v>60</v>
      </c>
      <c r="E6" s="60"/>
      <c r="F6" s="60"/>
      <c r="G6" s="60"/>
      <c r="H6" s="61"/>
    </row>
    <row r="7" spans="1:8" ht="14.45" customHeight="1" x14ac:dyDescent="0.25">
      <c r="A7" s="56" t="s">
        <v>8</v>
      </c>
      <c r="B7" s="57"/>
      <c r="C7" s="58"/>
      <c r="D7" s="59" t="s">
        <v>60</v>
      </c>
      <c r="E7" s="60"/>
      <c r="F7" s="60"/>
      <c r="G7" s="60"/>
      <c r="H7" s="61"/>
    </row>
    <row r="8" spans="1:8" x14ac:dyDescent="0.25">
      <c r="A8" s="56" t="s">
        <v>9</v>
      </c>
      <c r="B8" s="57"/>
      <c r="C8" s="58"/>
      <c r="D8" s="52" t="s">
        <v>5</v>
      </c>
      <c r="E8" s="53"/>
      <c r="F8" s="53"/>
      <c r="G8" s="53"/>
      <c r="H8" s="54"/>
    </row>
    <row r="9" spans="1:8" x14ac:dyDescent="0.25">
      <c r="A9" s="56" t="s">
        <v>10</v>
      </c>
      <c r="B9" s="57"/>
      <c r="C9" s="58"/>
      <c r="D9" s="52" t="s">
        <v>5</v>
      </c>
      <c r="E9" s="53"/>
      <c r="F9" s="53"/>
      <c r="G9" s="53"/>
      <c r="H9" s="54"/>
    </row>
    <row r="10" spans="1:8" ht="15" customHeight="1" x14ac:dyDescent="0.25">
      <c r="A10" s="56" t="s">
        <v>11</v>
      </c>
      <c r="B10" s="57"/>
      <c r="C10" s="58"/>
      <c r="D10" s="56" t="s">
        <v>5</v>
      </c>
      <c r="E10" s="57"/>
      <c r="F10" s="57"/>
      <c r="G10" s="57"/>
      <c r="H10" s="58"/>
    </row>
    <row r="11" spans="1:8" x14ac:dyDescent="0.25">
      <c r="A11" s="56" t="s">
        <v>13</v>
      </c>
      <c r="B11" s="57"/>
      <c r="C11" s="58"/>
      <c r="D11" s="59" t="s">
        <v>5</v>
      </c>
      <c r="E11" s="60"/>
      <c r="F11" s="60"/>
      <c r="G11" s="60"/>
      <c r="H11" s="61"/>
    </row>
    <row r="12" spans="1:8" ht="14.45" customHeight="1" x14ac:dyDescent="0.25">
      <c r="A12" s="56" t="s">
        <v>14</v>
      </c>
      <c r="B12" s="57"/>
      <c r="C12" s="58"/>
      <c r="D12" s="62" t="s">
        <v>147</v>
      </c>
      <c r="E12" s="63"/>
      <c r="F12" s="63"/>
      <c r="G12" s="63"/>
      <c r="H12" s="64"/>
    </row>
    <row r="13" spans="1:8" x14ac:dyDescent="0.25">
      <c r="A13" s="56" t="s">
        <v>16</v>
      </c>
      <c r="B13" s="57"/>
      <c r="C13" s="58"/>
      <c r="D13" s="56"/>
      <c r="E13" s="57"/>
      <c r="F13" s="57"/>
      <c r="G13" s="57"/>
      <c r="H13" s="58"/>
    </row>
    <row r="14" spans="1:8" x14ac:dyDescent="0.25">
      <c r="A14" s="56" t="s">
        <v>17</v>
      </c>
      <c r="B14" s="57"/>
      <c r="C14" s="58"/>
      <c r="D14" s="59" t="s">
        <v>5</v>
      </c>
      <c r="E14" s="60"/>
      <c r="F14" s="60"/>
      <c r="G14" s="60"/>
      <c r="H14" s="61"/>
    </row>
    <row r="15" spans="1:8" x14ac:dyDescent="0.25">
      <c r="A15" s="55" t="s">
        <v>18</v>
      </c>
      <c r="B15" s="55"/>
      <c r="C15" s="55"/>
      <c r="D15" s="55"/>
      <c r="E15" s="55"/>
      <c r="F15" s="55"/>
      <c r="G15" s="55"/>
      <c r="H15" s="55"/>
    </row>
    <row r="16" spans="1:8" s="14" customFormat="1" ht="12.75" x14ac:dyDescent="0.2">
      <c r="A16" s="29" t="s">
        <v>19</v>
      </c>
      <c r="B16" s="29" t="s">
        <v>20</v>
      </c>
      <c r="C16" s="29" t="s">
        <v>21</v>
      </c>
      <c r="D16" s="29" t="s">
        <v>22</v>
      </c>
      <c r="E16" s="29" t="s">
        <v>23</v>
      </c>
      <c r="F16" s="29" t="s">
        <v>24</v>
      </c>
      <c r="G16" s="29" t="s">
        <v>25</v>
      </c>
      <c r="H16" s="29" t="s">
        <v>26</v>
      </c>
    </row>
    <row r="17" spans="1:8" s="15" customFormat="1" x14ac:dyDescent="0.25">
      <c r="A17" s="21" t="s">
        <v>149</v>
      </c>
      <c r="B17" s="21" t="s">
        <v>265</v>
      </c>
      <c r="C17" s="21" t="s">
        <v>58</v>
      </c>
      <c r="D17" s="21" t="s">
        <v>5</v>
      </c>
      <c r="E17" s="21" t="s">
        <v>5</v>
      </c>
      <c r="F17" s="21" t="s">
        <v>5</v>
      </c>
      <c r="G17" s="21" t="s">
        <v>30</v>
      </c>
      <c r="H17" s="22"/>
    </row>
    <row r="18" spans="1:8" s="15" customFormat="1" x14ac:dyDescent="0.25">
      <c r="A18" s="21" t="s">
        <v>149</v>
      </c>
      <c r="B18" s="21" t="s">
        <v>77</v>
      </c>
      <c r="C18" s="21" t="s">
        <v>78</v>
      </c>
      <c r="D18" s="21" t="s">
        <v>5</v>
      </c>
      <c r="E18" s="21" t="s">
        <v>5</v>
      </c>
      <c r="F18" s="21" t="s">
        <v>5</v>
      </c>
      <c r="G18" s="21" t="s">
        <v>336</v>
      </c>
      <c r="H18" s="22"/>
    </row>
    <row r="19" spans="1:8" ht="135" x14ac:dyDescent="0.25">
      <c r="A19" s="21" t="s">
        <v>149</v>
      </c>
      <c r="B19" s="21" t="s">
        <v>57</v>
      </c>
      <c r="C19" s="21" t="s">
        <v>58</v>
      </c>
      <c r="D19" s="21" t="s">
        <v>247</v>
      </c>
      <c r="E19" s="21" t="s">
        <v>57</v>
      </c>
      <c r="F19" s="21" t="s">
        <v>58</v>
      </c>
      <c r="G19" s="6" t="s">
        <v>361</v>
      </c>
      <c r="H19" s="16"/>
    </row>
    <row r="20" spans="1:8" s="17" customFormat="1" x14ac:dyDescent="0.25">
      <c r="A20" s="21" t="s">
        <v>149</v>
      </c>
      <c r="B20" s="21" t="s">
        <v>150</v>
      </c>
      <c r="C20" s="21" t="s">
        <v>125</v>
      </c>
      <c r="D20" s="21" t="s">
        <v>242</v>
      </c>
      <c r="E20" s="21" t="s">
        <v>158</v>
      </c>
      <c r="F20" s="21" t="s">
        <v>159</v>
      </c>
      <c r="G20" s="21" t="s">
        <v>81</v>
      </c>
      <c r="H20" s="22"/>
    </row>
    <row r="21" spans="1:8" s="17" customFormat="1" x14ac:dyDescent="0.25">
      <c r="A21" s="21" t="s">
        <v>149</v>
      </c>
      <c r="B21" s="21" t="s">
        <v>266</v>
      </c>
      <c r="C21" s="21" t="s">
        <v>138</v>
      </c>
      <c r="D21" s="21" t="s">
        <v>5</v>
      </c>
      <c r="E21" s="21" t="s">
        <v>5</v>
      </c>
      <c r="F21" s="21" t="s">
        <v>5</v>
      </c>
      <c r="G21" s="21" t="s">
        <v>337</v>
      </c>
      <c r="H21" s="22"/>
    </row>
    <row r="22" spans="1:8" s="17" customFormat="1" x14ac:dyDescent="0.25">
      <c r="A22" s="21" t="s">
        <v>149</v>
      </c>
      <c r="B22" s="21" t="s">
        <v>151</v>
      </c>
      <c r="C22" s="21" t="s">
        <v>111</v>
      </c>
      <c r="D22" s="21" t="s">
        <v>242</v>
      </c>
      <c r="E22" s="21" t="s">
        <v>338</v>
      </c>
      <c r="F22" s="21" t="s">
        <v>111</v>
      </c>
      <c r="G22" s="21" t="s">
        <v>81</v>
      </c>
      <c r="H22" s="22"/>
    </row>
    <row r="23" spans="1:8" s="17" customFormat="1" ht="13.5" customHeight="1" x14ac:dyDescent="0.25">
      <c r="A23" s="21" t="s">
        <v>149</v>
      </c>
      <c r="B23" s="21" t="s">
        <v>43</v>
      </c>
      <c r="C23" s="21" t="s">
        <v>106</v>
      </c>
      <c r="D23" s="21" t="s">
        <v>5</v>
      </c>
      <c r="E23" s="21" t="s">
        <v>5</v>
      </c>
      <c r="F23" s="21" t="s">
        <v>5</v>
      </c>
      <c r="G23" s="21" t="s">
        <v>45</v>
      </c>
      <c r="H23" s="22"/>
    </row>
    <row r="24" spans="1:8" s="17" customFormat="1" ht="13.5" customHeight="1" x14ac:dyDescent="0.25">
      <c r="A24" s="21" t="s">
        <v>149</v>
      </c>
      <c r="B24" s="21" t="s">
        <v>47</v>
      </c>
      <c r="C24" s="21" t="s">
        <v>106</v>
      </c>
      <c r="D24" s="21" t="s">
        <v>5</v>
      </c>
      <c r="E24" s="21" t="s">
        <v>5</v>
      </c>
      <c r="F24" s="21" t="s">
        <v>5</v>
      </c>
      <c r="G24" s="48" t="s">
        <v>339</v>
      </c>
      <c r="H24" s="22"/>
    </row>
    <row r="25" spans="1:8" s="17" customFormat="1" ht="13.5" customHeight="1" x14ac:dyDescent="0.25">
      <c r="A25" s="21" t="s">
        <v>149</v>
      </c>
      <c r="B25" s="21" t="s">
        <v>141</v>
      </c>
      <c r="C25" s="21" t="s">
        <v>106</v>
      </c>
      <c r="D25" s="21" t="s">
        <v>242</v>
      </c>
      <c r="E25" s="21" t="s">
        <v>340</v>
      </c>
      <c r="F25" s="21" t="s">
        <v>5</v>
      </c>
      <c r="G25" s="21" t="s">
        <v>5</v>
      </c>
      <c r="H25" s="30"/>
    </row>
    <row r="26" spans="1:8" s="17" customFormat="1" ht="13.5" customHeight="1" x14ac:dyDescent="0.25">
      <c r="A26" s="21" t="s">
        <v>149</v>
      </c>
      <c r="B26" s="21" t="s">
        <v>142</v>
      </c>
      <c r="C26" s="21" t="s">
        <v>106</v>
      </c>
      <c r="D26" s="21" t="s">
        <v>242</v>
      </c>
      <c r="E26" s="21" t="s">
        <v>341</v>
      </c>
      <c r="F26" s="21" t="s">
        <v>5</v>
      </c>
      <c r="G26" s="21" t="s">
        <v>5</v>
      </c>
      <c r="H26" s="30"/>
    </row>
    <row r="27" spans="1:8" s="17" customFormat="1" x14ac:dyDescent="0.25">
      <c r="A27" s="21" t="s">
        <v>149</v>
      </c>
      <c r="B27" s="21" t="s">
        <v>42</v>
      </c>
      <c r="C27" s="21" t="s">
        <v>257</v>
      </c>
      <c r="D27" s="21" t="s">
        <v>5</v>
      </c>
      <c r="E27" s="21" t="s">
        <v>5</v>
      </c>
      <c r="F27" s="21" t="s">
        <v>5</v>
      </c>
      <c r="G27" s="21" t="s">
        <v>337</v>
      </c>
      <c r="H27" s="22"/>
    </row>
    <row r="28" spans="1:8" s="17" customFormat="1" x14ac:dyDescent="0.25">
      <c r="A28" s="21" t="s">
        <v>149</v>
      </c>
      <c r="B28" s="21" t="s">
        <v>152</v>
      </c>
      <c r="C28" s="21" t="s">
        <v>257</v>
      </c>
      <c r="D28" s="21" t="s">
        <v>5</v>
      </c>
      <c r="E28" s="21" t="s">
        <v>5</v>
      </c>
      <c r="F28" s="21" t="s">
        <v>5</v>
      </c>
      <c r="G28" s="21" t="s">
        <v>337</v>
      </c>
      <c r="H28" s="22"/>
    </row>
    <row r="29" spans="1:8" s="15" customFormat="1" ht="13.5" customHeight="1" x14ac:dyDescent="0.25">
      <c r="A29" s="21" t="s">
        <v>149</v>
      </c>
      <c r="B29" s="21" t="s">
        <v>258</v>
      </c>
      <c r="C29" s="21" t="s">
        <v>58</v>
      </c>
      <c r="D29" s="21" t="s">
        <v>242</v>
      </c>
      <c r="E29" s="21" t="s">
        <v>134</v>
      </c>
      <c r="F29" s="21" t="s">
        <v>135</v>
      </c>
      <c r="G29" s="21" t="s">
        <v>342</v>
      </c>
      <c r="H29" s="22"/>
    </row>
    <row r="30" spans="1:8" s="15" customFormat="1" x14ac:dyDescent="0.25">
      <c r="A30" s="21" t="s">
        <v>149</v>
      </c>
      <c r="B30" s="21" t="s">
        <v>51</v>
      </c>
      <c r="C30" s="21" t="s">
        <v>58</v>
      </c>
      <c r="D30" s="21" t="s">
        <v>242</v>
      </c>
      <c r="E30" s="21" t="s">
        <v>51</v>
      </c>
      <c r="F30" s="21" t="s">
        <v>58</v>
      </c>
      <c r="G30" s="21" t="s">
        <v>81</v>
      </c>
      <c r="H30" s="22"/>
    </row>
    <row r="31" spans="1:8" s="15" customFormat="1" x14ac:dyDescent="0.25">
      <c r="A31" s="21" t="s">
        <v>149</v>
      </c>
      <c r="B31" s="21" t="s">
        <v>52</v>
      </c>
      <c r="C31" s="21" t="s">
        <v>58</v>
      </c>
      <c r="D31" s="21" t="s">
        <v>242</v>
      </c>
      <c r="E31" s="21" t="s">
        <v>52</v>
      </c>
      <c r="F31" s="21" t="s">
        <v>58</v>
      </c>
      <c r="G31" s="21" t="s">
        <v>81</v>
      </c>
      <c r="H31" s="22"/>
    </row>
    <row r="32" spans="1:8" s="15" customFormat="1" x14ac:dyDescent="0.25">
      <c r="A32" s="21" t="s">
        <v>149</v>
      </c>
      <c r="B32" s="21" t="s">
        <v>259</v>
      </c>
      <c r="C32" s="21" t="s">
        <v>103</v>
      </c>
      <c r="D32" s="49" t="s">
        <v>5</v>
      </c>
      <c r="E32" s="49" t="s">
        <v>5</v>
      </c>
      <c r="F32" s="49" t="s">
        <v>5</v>
      </c>
      <c r="G32" s="50" t="s">
        <v>45</v>
      </c>
      <c r="H32" s="22"/>
    </row>
    <row r="33" spans="1:8" s="15" customFormat="1" x14ac:dyDescent="0.25">
      <c r="A33" s="21" t="s">
        <v>149</v>
      </c>
      <c r="B33" s="21" t="s">
        <v>260</v>
      </c>
      <c r="C33" s="21" t="s">
        <v>138</v>
      </c>
      <c r="D33" s="49" t="s">
        <v>5</v>
      </c>
      <c r="E33" s="49" t="s">
        <v>5</v>
      </c>
      <c r="F33" s="49" t="s">
        <v>5</v>
      </c>
      <c r="G33" s="50" t="s">
        <v>54</v>
      </c>
      <c r="H33" s="22"/>
    </row>
    <row r="34" spans="1:8" s="17" customFormat="1" x14ac:dyDescent="0.25">
      <c r="A34" s="21" t="s">
        <v>149</v>
      </c>
      <c r="B34" s="21" t="s">
        <v>261</v>
      </c>
      <c r="C34" s="21" t="s">
        <v>103</v>
      </c>
      <c r="D34" s="49" t="s">
        <v>5</v>
      </c>
      <c r="E34" s="49" t="s">
        <v>5</v>
      </c>
      <c r="F34" s="49" t="s">
        <v>5</v>
      </c>
      <c r="G34" s="50" t="s">
        <v>45</v>
      </c>
      <c r="H34" s="22"/>
    </row>
    <row r="35" spans="1:8" s="15" customFormat="1" x14ac:dyDescent="0.25">
      <c r="A35" s="21" t="s">
        <v>149</v>
      </c>
      <c r="B35" s="21" t="s">
        <v>262</v>
      </c>
      <c r="C35" s="21" t="s">
        <v>138</v>
      </c>
      <c r="D35" s="49" t="s">
        <v>5</v>
      </c>
      <c r="E35" s="49" t="s">
        <v>5</v>
      </c>
      <c r="F35" s="49" t="s">
        <v>5</v>
      </c>
      <c r="G35" s="50" t="s">
        <v>54</v>
      </c>
      <c r="H35" s="22"/>
    </row>
  </sheetData>
  <mergeCells count="28">
    <mergeCell ref="A15:H15"/>
    <mergeCell ref="A12:C12"/>
    <mergeCell ref="D12:H12"/>
    <mergeCell ref="A13:C13"/>
    <mergeCell ref="D13:H13"/>
    <mergeCell ref="A14:C14"/>
    <mergeCell ref="D14:H14"/>
    <mergeCell ref="A11:C11"/>
    <mergeCell ref="D11:H1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:H1"/>
    <mergeCell ref="A2:C2"/>
    <mergeCell ref="D2:H2"/>
    <mergeCell ref="A3:C3"/>
    <mergeCell ref="D3:H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C16" workbookViewId="0">
      <selection activeCell="G23" sqref="G23"/>
    </sheetView>
  </sheetViews>
  <sheetFormatPr defaultColWidth="13.85546875" defaultRowHeight="15" x14ac:dyDescent="0.25"/>
  <cols>
    <col min="2" max="2" width="18.140625" bestFit="1" customWidth="1"/>
    <col min="3" max="3" width="24.85546875" customWidth="1"/>
    <col min="4" max="4" width="28.85546875" customWidth="1"/>
    <col min="5" max="5" width="25.85546875" bestFit="1" customWidth="1"/>
    <col min="7" max="7" width="77.42578125" bestFit="1" customWidth="1"/>
    <col min="8" max="8" width="18.7109375" bestFit="1" customWidth="1"/>
  </cols>
  <sheetData>
    <row r="1" spans="1:8" x14ac:dyDescent="0.25">
      <c r="A1" s="55" t="s">
        <v>64</v>
      </c>
      <c r="B1" s="55"/>
      <c r="C1" s="55"/>
      <c r="D1" s="55"/>
      <c r="E1" s="55"/>
      <c r="F1" s="55"/>
      <c r="G1" s="55"/>
      <c r="H1" s="55"/>
    </row>
    <row r="2" spans="1:8" ht="15" customHeight="1" x14ac:dyDescent="0.25">
      <c r="A2" s="56" t="s">
        <v>0</v>
      </c>
      <c r="B2" s="57"/>
      <c r="C2" s="58"/>
      <c r="D2" s="52" t="s">
        <v>5</v>
      </c>
      <c r="E2" s="53"/>
      <c r="F2" s="53"/>
      <c r="G2" s="53"/>
      <c r="H2" s="54"/>
    </row>
    <row r="3" spans="1:8" ht="15" customHeight="1" x14ac:dyDescent="0.25">
      <c r="A3" s="56" t="s">
        <v>1</v>
      </c>
      <c r="B3" s="57"/>
      <c r="C3" s="58"/>
      <c r="D3" s="52" t="s">
        <v>5</v>
      </c>
      <c r="E3" s="53"/>
      <c r="F3" s="53"/>
      <c r="G3" s="53"/>
      <c r="H3" s="54"/>
    </row>
    <row r="4" spans="1:8" x14ac:dyDescent="0.25">
      <c r="A4" s="56" t="s">
        <v>2</v>
      </c>
      <c r="B4" s="57"/>
      <c r="C4" s="58"/>
      <c r="D4" s="52" t="s">
        <v>3</v>
      </c>
      <c r="E4" s="53"/>
      <c r="F4" s="53"/>
      <c r="G4" s="53"/>
      <c r="H4" s="54"/>
    </row>
    <row r="5" spans="1:8" ht="14.45" customHeight="1" x14ac:dyDescent="0.25">
      <c r="A5" s="56" t="s">
        <v>4</v>
      </c>
      <c r="B5" s="57"/>
      <c r="C5" s="58"/>
      <c r="D5" s="52" t="s">
        <v>5</v>
      </c>
      <c r="E5" s="53"/>
      <c r="F5" s="53"/>
      <c r="G5" s="53"/>
      <c r="H5" s="54"/>
    </row>
    <row r="6" spans="1:8" ht="14.45" customHeight="1" x14ac:dyDescent="0.25">
      <c r="A6" s="56" t="s">
        <v>6</v>
      </c>
      <c r="B6" s="57"/>
      <c r="C6" s="58"/>
      <c r="D6" s="59" t="s">
        <v>60</v>
      </c>
      <c r="E6" s="60"/>
      <c r="F6" s="60"/>
      <c r="G6" s="60"/>
      <c r="H6" s="61"/>
    </row>
    <row r="7" spans="1:8" ht="14.45" customHeight="1" x14ac:dyDescent="0.25">
      <c r="A7" s="56" t="s">
        <v>8</v>
      </c>
      <c r="B7" s="57"/>
      <c r="C7" s="58"/>
      <c r="D7" s="59" t="s">
        <v>60</v>
      </c>
      <c r="E7" s="60"/>
      <c r="F7" s="60"/>
      <c r="G7" s="60"/>
      <c r="H7" s="61"/>
    </row>
    <row r="8" spans="1:8" x14ac:dyDescent="0.25">
      <c r="A8" s="56" t="s">
        <v>9</v>
      </c>
      <c r="B8" s="57"/>
      <c r="C8" s="58"/>
      <c r="D8" s="52" t="s">
        <v>5</v>
      </c>
      <c r="E8" s="53"/>
      <c r="F8" s="53"/>
      <c r="G8" s="53"/>
      <c r="H8" s="54"/>
    </row>
    <row r="9" spans="1:8" x14ac:dyDescent="0.25">
      <c r="A9" s="56" t="s">
        <v>10</v>
      </c>
      <c r="B9" s="57"/>
      <c r="C9" s="58"/>
      <c r="D9" s="52" t="s">
        <v>5</v>
      </c>
      <c r="E9" s="53"/>
      <c r="F9" s="53"/>
      <c r="G9" s="53"/>
      <c r="H9" s="54"/>
    </row>
    <row r="10" spans="1:8" ht="15" customHeight="1" x14ac:dyDescent="0.25">
      <c r="A10" s="56" t="s">
        <v>11</v>
      </c>
      <c r="B10" s="57"/>
      <c r="C10" s="58"/>
      <c r="D10" s="56" t="s">
        <v>5</v>
      </c>
      <c r="E10" s="57"/>
      <c r="F10" s="57"/>
      <c r="G10" s="57"/>
      <c r="H10" s="58"/>
    </row>
    <row r="11" spans="1:8" x14ac:dyDescent="0.25">
      <c r="A11" s="56" t="s">
        <v>13</v>
      </c>
      <c r="B11" s="57"/>
      <c r="C11" s="58"/>
      <c r="D11" s="59" t="s">
        <v>5</v>
      </c>
      <c r="E11" s="60"/>
      <c r="F11" s="60"/>
      <c r="G11" s="60"/>
      <c r="H11" s="61"/>
    </row>
    <row r="12" spans="1:8" ht="14.45" customHeight="1" x14ac:dyDescent="0.25">
      <c r="A12" s="56" t="s">
        <v>14</v>
      </c>
      <c r="B12" s="57"/>
      <c r="C12" s="58"/>
      <c r="D12" s="62" t="s">
        <v>147</v>
      </c>
      <c r="E12" s="63"/>
      <c r="F12" s="63"/>
      <c r="G12" s="63"/>
      <c r="H12" s="64"/>
    </row>
    <row r="13" spans="1:8" x14ac:dyDescent="0.25">
      <c r="A13" s="56" t="s">
        <v>16</v>
      </c>
      <c r="B13" s="57"/>
      <c r="C13" s="58"/>
      <c r="D13" s="56"/>
      <c r="E13" s="57"/>
      <c r="F13" s="57"/>
      <c r="G13" s="57"/>
      <c r="H13" s="58"/>
    </row>
    <row r="14" spans="1:8" x14ac:dyDescent="0.25">
      <c r="A14" s="56" t="s">
        <v>17</v>
      </c>
      <c r="B14" s="57"/>
      <c r="C14" s="58"/>
      <c r="D14" s="59" t="s">
        <v>5</v>
      </c>
      <c r="E14" s="60"/>
      <c r="F14" s="60"/>
      <c r="G14" s="60"/>
      <c r="H14" s="61"/>
    </row>
    <row r="15" spans="1:8" x14ac:dyDescent="0.25">
      <c r="A15" s="65" t="s">
        <v>18</v>
      </c>
      <c r="B15" s="65"/>
      <c r="C15" s="65"/>
      <c r="D15" s="65"/>
      <c r="E15" s="65"/>
      <c r="F15" s="65"/>
      <c r="G15" s="65"/>
      <c r="H15" s="65"/>
    </row>
    <row r="16" spans="1:8" ht="25.5" x14ac:dyDescent="0.25">
      <c r="A16" s="1" t="s">
        <v>19</v>
      </c>
      <c r="B16" s="1" t="s">
        <v>20</v>
      </c>
      <c r="C16" s="1" t="s">
        <v>21</v>
      </c>
      <c r="D16" s="2" t="s">
        <v>22</v>
      </c>
      <c r="E16" s="2" t="s">
        <v>23</v>
      </c>
      <c r="F16" s="2" t="s">
        <v>24</v>
      </c>
      <c r="G16" s="3" t="s">
        <v>25</v>
      </c>
      <c r="H16" s="3" t="s">
        <v>26</v>
      </c>
    </row>
    <row r="17" spans="1:8" x14ac:dyDescent="0.25">
      <c r="A17" s="21" t="s">
        <v>27</v>
      </c>
      <c r="B17" s="21" t="s">
        <v>267</v>
      </c>
      <c r="C17" s="21" t="s">
        <v>58</v>
      </c>
      <c r="D17" s="21" t="s">
        <v>5</v>
      </c>
      <c r="E17" s="21" t="s">
        <v>5</v>
      </c>
      <c r="F17" s="21" t="s">
        <v>5</v>
      </c>
      <c r="G17" s="21" t="s">
        <v>30</v>
      </c>
      <c r="H17" s="21"/>
    </row>
    <row r="18" spans="1:8" x14ac:dyDescent="0.25">
      <c r="A18" s="21" t="s">
        <v>27</v>
      </c>
      <c r="B18" s="21" t="s">
        <v>77</v>
      </c>
      <c r="C18" s="21" t="s">
        <v>78</v>
      </c>
      <c r="D18" s="21" t="s">
        <v>5</v>
      </c>
      <c r="E18" s="21" t="s">
        <v>5</v>
      </c>
      <c r="F18" s="21" t="s">
        <v>5</v>
      </c>
      <c r="G18" s="21" t="s">
        <v>336</v>
      </c>
      <c r="H18" s="21"/>
    </row>
    <row r="19" spans="1:8" ht="105" x14ac:dyDescent="0.25">
      <c r="A19" s="21" t="s">
        <v>27</v>
      </c>
      <c r="B19" s="21" t="s">
        <v>57</v>
      </c>
      <c r="C19" s="21" t="s">
        <v>58</v>
      </c>
      <c r="D19" s="21" t="s">
        <v>247</v>
      </c>
      <c r="E19" s="21" t="s">
        <v>57</v>
      </c>
      <c r="F19" s="21" t="s">
        <v>58</v>
      </c>
      <c r="G19" s="6" t="s">
        <v>362</v>
      </c>
      <c r="H19" s="21"/>
    </row>
    <row r="20" spans="1:8" x14ac:dyDescent="0.25">
      <c r="A20" s="21" t="s">
        <v>27</v>
      </c>
      <c r="B20" s="21" t="s">
        <v>31</v>
      </c>
      <c r="C20" s="21" t="s">
        <v>125</v>
      </c>
      <c r="D20" s="21" t="s">
        <v>244</v>
      </c>
      <c r="E20" s="21" t="s">
        <v>34</v>
      </c>
      <c r="F20" s="21" t="s">
        <v>32</v>
      </c>
      <c r="G20" s="21" t="s">
        <v>33</v>
      </c>
      <c r="H20" s="21"/>
    </row>
    <row r="21" spans="1:8" x14ac:dyDescent="0.25">
      <c r="A21" s="21" t="s">
        <v>27</v>
      </c>
      <c r="B21" s="21" t="s">
        <v>35</v>
      </c>
      <c r="C21" s="21" t="s">
        <v>178</v>
      </c>
      <c r="D21" s="21" t="s">
        <v>5</v>
      </c>
      <c r="E21" s="21" t="s">
        <v>5</v>
      </c>
      <c r="F21" s="21" t="s">
        <v>5</v>
      </c>
      <c r="G21" s="21" t="s">
        <v>345</v>
      </c>
      <c r="H21" s="21"/>
    </row>
    <row r="22" spans="1:8" x14ac:dyDescent="0.25">
      <c r="A22" s="21" t="s">
        <v>27</v>
      </c>
      <c r="B22" s="21" t="s">
        <v>36</v>
      </c>
      <c r="C22" t="s">
        <v>99</v>
      </c>
      <c r="D22" s="21" t="s">
        <v>244</v>
      </c>
      <c r="E22" s="21" t="s">
        <v>37</v>
      </c>
      <c r="F22" s="21" t="s">
        <v>38</v>
      </c>
      <c r="G22" s="21" t="s">
        <v>33</v>
      </c>
      <c r="H22" s="21"/>
    </row>
    <row r="23" spans="1:8" x14ac:dyDescent="0.25">
      <c r="A23" s="21" t="s">
        <v>27</v>
      </c>
      <c r="B23" s="21" t="s">
        <v>61</v>
      </c>
      <c r="C23" s="21" t="s">
        <v>99</v>
      </c>
      <c r="D23" s="21" t="s">
        <v>244</v>
      </c>
      <c r="E23" s="21" t="s">
        <v>346</v>
      </c>
      <c r="F23" s="21" t="s">
        <v>63</v>
      </c>
      <c r="G23" s="21" t="s">
        <v>33</v>
      </c>
      <c r="H23" s="21"/>
    </row>
    <row r="24" spans="1:8" x14ac:dyDescent="0.25">
      <c r="A24" s="21" t="s">
        <v>27</v>
      </c>
      <c r="B24" s="21" t="s">
        <v>62</v>
      </c>
      <c r="C24" s="21" t="s">
        <v>99</v>
      </c>
      <c r="D24" s="21" t="s">
        <v>244</v>
      </c>
      <c r="E24" s="21" t="s">
        <v>347</v>
      </c>
      <c r="F24" s="21" t="s">
        <v>63</v>
      </c>
      <c r="G24" s="21" t="s">
        <v>33</v>
      </c>
      <c r="H24" s="21"/>
    </row>
    <row r="25" spans="1:8" x14ac:dyDescent="0.25">
      <c r="A25" s="21" t="s">
        <v>27</v>
      </c>
      <c r="B25" t="s">
        <v>268</v>
      </c>
      <c r="C25" s="21" t="s">
        <v>99</v>
      </c>
      <c r="D25" s="21" t="s">
        <v>244</v>
      </c>
      <c r="E25" s="21" t="s">
        <v>348</v>
      </c>
      <c r="F25" s="21" t="s">
        <v>63</v>
      </c>
      <c r="G25" s="21" t="s">
        <v>33</v>
      </c>
      <c r="H25" s="21"/>
    </row>
    <row r="26" spans="1:8" x14ac:dyDescent="0.25">
      <c r="A26" s="21" t="s">
        <v>27</v>
      </c>
      <c r="B26" s="21" t="s">
        <v>334</v>
      </c>
      <c r="C26" s="21" t="s">
        <v>106</v>
      </c>
      <c r="D26" s="21" t="s">
        <v>244</v>
      </c>
      <c r="E26" s="21" t="s">
        <v>349</v>
      </c>
      <c r="F26" s="21" t="s">
        <v>5</v>
      </c>
      <c r="G26" s="21" t="s">
        <v>33</v>
      </c>
      <c r="H26" s="21"/>
    </row>
    <row r="27" spans="1:8" x14ac:dyDescent="0.25">
      <c r="A27" s="21" t="s">
        <v>27</v>
      </c>
      <c r="B27" s="21" t="s">
        <v>335</v>
      </c>
      <c r="C27" s="21" t="s">
        <v>106</v>
      </c>
      <c r="D27" s="21" t="s">
        <v>244</v>
      </c>
      <c r="E27" s="21" t="s">
        <v>350</v>
      </c>
      <c r="F27" s="21" t="s">
        <v>5</v>
      </c>
      <c r="G27" s="21" t="s">
        <v>33</v>
      </c>
      <c r="H27" s="21"/>
    </row>
    <row r="28" spans="1:8" x14ac:dyDescent="0.25">
      <c r="A28" s="21" t="s">
        <v>27</v>
      </c>
      <c r="B28" t="s">
        <v>269</v>
      </c>
      <c r="C28" s="21" t="s">
        <v>106</v>
      </c>
      <c r="D28" s="21" t="s">
        <v>244</v>
      </c>
      <c r="E28" s="21" t="s">
        <v>340</v>
      </c>
      <c r="F28" s="21" t="s">
        <v>44</v>
      </c>
      <c r="G28" s="21" t="s">
        <v>33</v>
      </c>
      <c r="H28" s="21"/>
    </row>
    <row r="29" spans="1:8" x14ac:dyDescent="0.25">
      <c r="A29" s="21" t="s">
        <v>27</v>
      </c>
      <c r="B29" t="s">
        <v>270</v>
      </c>
      <c r="C29" s="21" t="s">
        <v>106</v>
      </c>
      <c r="D29" s="21" t="s">
        <v>244</v>
      </c>
      <c r="E29" s="21" t="s">
        <v>341</v>
      </c>
      <c r="F29" s="21" t="s">
        <v>44</v>
      </c>
      <c r="G29" s="21" t="s">
        <v>33</v>
      </c>
      <c r="H29" s="21"/>
    </row>
    <row r="30" spans="1:8" x14ac:dyDescent="0.25">
      <c r="A30" s="21" t="s">
        <v>27</v>
      </c>
      <c r="B30" s="21" t="s">
        <v>42</v>
      </c>
      <c r="C30" s="21" t="s">
        <v>257</v>
      </c>
      <c r="D30" s="21" t="s">
        <v>5</v>
      </c>
      <c r="E30" s="21" t="s">
        <v>5</v>
      </c>
      <c r="F30" s="21" t="s">
        <v>5</v>
      </c>
      <c r="G30" s="21" t="s">
        <v>345</v>
      </c>
      <c r="H30" s="21"/>
    </row>
    <row r="31" spans="1:8" x14ac:dyDescent="0.25">
      <c r="A31" s="21" t="s">
        <v>27</v>
      </c>
      <c r="B31" s="21" t="s">
        <v>39</v>
      </c>
      <c r="C31" s="21" t="s">
        <v>257</v>
      </c>
      <c r="D31" s="21" t="s">
        <v>5</v>
      </c>
      <c r="E31" s="21" t="s">
        <v>5</v>
      </c>
      <c r="F31" s="21" t="s">
        <v>5</v>
      </c>
      <c r="G31" s="21" t="s">
        <v>345</v>
      </c>
      <c r="H31" s="21"/>
    </row>
    <row r="32" spans="1:8" x14ac:dyDescent="0.25">
      <c r="A32" s="21" t="s">
        <v>27</v>
      </c>
      <c r="B32" s="21" t="s">
        <v>41</v>
      </c>
      <c r="C32" s="21" t="s">
        <v>257</v>
      </c>
      <c r="D32" s="21" t="s">
        <v>5</v>
      </c>
      <c r="E32" s="21" t="s">
        <v>5</v>
      </c>
      <c r="F32" s="21" t="s">
        <v>5</v>
      </c>
      <c r="G32" s="21" t="s">
        <v>345</v>
      </c>
      <c r="H32" s="21"/>
    </row>
    <row r="33" spans="1:8" x14ac:dyDescent="0.25">
      <c r="A33" s="21" t="s">
        <v>27</v>
      </c>
      <c r="B33" s="21" t="s">
        <v>49</v>
      </c>
      <c r="C33" s="21" t="s">
        <v>58</v>
      </c>
      <c r="D33" s="21" t="s">
        <v>244</v>
      </c>
      <c r="E33" s="21" t="s">
        <v>50</v>
      </c>
      <c r="F33" s="21" t="s">
        <v>5</v>
      </c>
      <c r="G33" s="21" t="s">
        <v>33</v>
      </c>
      <c r="H33" s="21"/>
    </row>
    <row r="34" spans="1:8" x14ac:dyDescent="0.25">
      <c r="A34" s="21" t="s">
        <v>27</v>
      </c>
      <c r="B34" s="21" t="s">
        <v>51</v>
      </c>
      <c r="C34" s="21" t="s">
        <v>58</v>
      </c>
      <c r="D34" s="21" t="s">
        <v>244</v>
      </c>
      <c r="E34" s="21" t="s">
        <v>51</v>
      </c>
      <c r="F34" s="21" t="s">
        <v>29</v>
      </c>
      <c r="G34" s="21" t="s">
        <v>33</v>
      </c>
      <c r="H34" s="21"/>
    </row>
    <row r="35" spans="1:8" x14ac:dyDescent="0.25">
      <c r="A35" s="21" t="s">
        <v>27</v>
      </c>
      <c r="B35" s="21" t="s">
        <v>52</v>
      </c>
      <c r="C35" s="21" t="s">
        <v>58</v>
      </c>
      <c r="D35" s="21" t="s">
        <v>244</v>
      </c>
      <c r="E35" s="21" t="s">
        <v>52</v>
      </c>
      <c r="F35" s="21" t="s">
        <v>29</v>
      </c>
      <c r="G35" s="21" t="s">
        <v>33</v>
      </c>
      <c r="H35" s="21"/>
    </row>
    <row r="36" spans="1:8" x14ac:dyDescent="0.25">
      <c r="A36" s="21" t="s">
        <v>27</v>
      </c>
      <c r="B36" s="21" t="s">
        <v>259</v>
      </c>
      <c r="C36" s="21" t="s">
        <v>103</v>
      </c>
      <c r="D36" s="49" t="s">
        <v>5</v>
      </c>
      <c r="E36" s="49" t="s">
        <v>5</v>
      </c>
      <c r="F36" s="49" t="s">
        <v>5</v>
      </c>
      <c r="G36" s="50" t="s">
        <v>45</v>
      </c>
      <c r="H36" s="21"/>
    </row>
    <row r="37" spans="1:8" x14ac:dyDescent="0.25">
      <c r="A37" s="21" t="s">
        <v>27</v>
      </c>
      <c r="B37" s="21" t="s">
        <v>260</v>
      </c>
      <c r="C37" s="21" t="s">
        <v>138</v>
      </c>
      <c r="D37" s="49" t="s">
        <v>5</v>
      </c>
      <c r="E37" s="49" t="s">
        <v>5</v>
      </c>
      <c r="F37" s="49" t="s">
        <v>5</v>
      </c>
      <c r="G37" s="50" t="s">
        <v>54</v>
      </c>
      <c r="H37" s="21"/>
    </row>
    <row r="38" spans="1:8" x14ac:dyDescent="0.25">
      <c r="A38" s="21" t="s">
        <v>27</v>
      </c>
      <c r="B38" s="21" t="s">
        <v>261</v>
      </c>
      <c r="C38" s="21" t="s">
        <v>103</v>
      </c>
      <c r="D38" s="49" t="s">
        <v>5</v>
      </c>
      <c r="E38" s="49" t="s">
        <v>5</v>
      </c>
      <c r="F38" s="49" t="s">
        <v>5</v>
      </c>
      <c r="G38" s="50" t="s">
        <v>45</v>
      </c>
      <c r="H38" s="21"/>
    </row>
    <row r="39" spans="1:8" x14ac:dyDescent="0.25">
      <c r="A39" s="21" t="s">
        <v>27</v>
      </c>
      <c r="B39" s="21" t="s">
        <v>262</v>
      </c>
      <c r="C39" s="21" t="s">
        <v>138</v>
      </c>
      <c r="D39" s="49" t="s">
        <v>5</v>
      </c>
      <c r="E39" s="49" t="s">
        <v>5</v>
      </c>
      <c r="F39" s="49" t="s">
        <v>5</v>
      </c>
      <c r="G39" s="50" t="s">
        <v>54</v>
      </c>
      <c r="H39" s="21"/>
    </row>
  </sheetData>
  <mergeCells count="28">
    <mergeCell ref="D14:H14"/>
    <mergeCell ref="A11:C11"/>
    <mergeCell ref="D11:H11"/>
    <mergeCell ref="A12:C12"/>
    <mergeCell ref="D12:H12"/>
    <mergeCell ref="A13:C13"/>
    <mergeCell ref="D13:H13"/>
    <mergeCell ref="A1:H1"/>
    <mergeCell ref="A2:C2"/>
    <mergeCell ref="D2:H2"/>
    <mergeCell ref="A3:C3"/>
    <mergeCell ref="D3:H3"/>
    <mergeCell ref="A7:C7"/>
    <mergeCell ref="D7:H7"/>
    <mergeCell ref="A15:H15"/>
    <mergeCell ref="A4:C4"/>
    <mergeCell ref="D4:H4"/>
    <mergeCell ref="A5:C5"/>
    <mergeCell ref="D5:H5"/>
    <mergeCell ref="A6:C6"/>
    <mergeCell ref="D6:H6"/>
    <mergeCell ref="A8:C8"/>
    <mergeCell ref="D8:H8"/>
    <mergeCell ref="A9:C9"/>
    <mergeCell ref="D9:H9"/>
    <mergeCell ref="A10:C10"/>
    <mergeCell ref="D10:H10"/>
    <mergeCell ref="A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2"/>
  <sheetViews>
    <sheetView topLeftCell="B33" zoomScaleNormal="100" workbookViewId="0">
      <selection activeCell="G25" sqref="G25"/>
    </sheetView>
  </sheetViews>
  <sheetFormatPr defaultRowHeight="15" x14ac:dyDescent="0.25"/>
  <cols>
    <col min="1" max="1" width="22.5703125" bestFit="1" customWidth="1"/>
    <col min="2" max="2" width="22.7109375" bestFit="1" customWidth="1"/>
    <col min="3" max="3" width="18.140625" customWidth="1"/>
    <col min="4" max="4" width="34.28515625" customWidth="1"/>
    <col min="5" max="5" width="21.140625" customWidth="1"/>
    <col min="6" max="6" width="15.5703125" customWidth="1"/>
    <col min="7" max="7" width="135.140625" bestFit="1" customWidth="1"/>
    <col min="8" max="8" width="20.42578125" customWidth="1"/>
    <col min="9" max="9" width="22.7109375" customWidth="1"/>
  </cols>
  <sheetData>
    <row r="1" spans="1:10" x14ac:dyDescent="0.25">
      <c r="A1" s="55" t="s">
        <v>64</v>
      </c>
      <c r="B1" s="55"/>
      <c r="C1" s="55"/>
      <c r="D1" s="55"/>
      <c r="E1" s="55"/>
      <c r="F1" s="55"/>
      <c r="G1" s="55"/>
      <c r="H1" s="55"/>
    </row>
    <row r="2" spans="1:10" ht="14.45" customHeight="1" x14ac:dyDescent="0.25">
      <c r="A2" s="66" t="s">
        <v>0</v>
      </c>
      <c r="B2" s="67"/>
      <c r="C2" s="68" t="s">
        <v>5</v>
      </c>
      <c r="D2" s="69"/>
      <c r="E2" s="69"/>
      <c r="F2" s="69"/>
      <c r="G2" s="69"/>
      <c r="H2" s="70"/>
    </row>
    <row r="3" spans="1:10" ht="14.45" customHeight="1" x14ac:dyDescent="0.25">
      <c r="A3" s="66" t="s">
        <v>1</v>
      </c>
      <c r="B3" s="67"/>
      <c r="C3" s="68" t="s">
        <v>5</v>
      </c>
      <c r="D3" s="69"/>
      <c r="E3" s="69"/>
      <c r="F3" s="69"/>
      <c r="G3" s="69"/>
      <c r="H3" s="70"/>
    </row>
    <row r="4" spans="1:10" x14ac:dyDescent="0.25">
      <c r="A4" s="66" t="s">
        <v>2</v>
      </c>
      <c r="B4" s="67"/>
      <c r="C4" s="68" t="s">
        <v>241</v>
      </c>
      <c r="D4" s="69"/>
      <c r="E4" s="69"/>
      <c r="F4" s="69"/>
      <c r="G4" s="69"/>
      <c r="H4" s="70"/>
    </row>
    <row r="5" spans="1:10" x14ac:dyDescent="0.25">
      <c r="A5" s="66" t="s">
        <v>4</v>
      </c>
      <c r="B5" s="67"/>
      <c r="C5" s="68" t="s">
        <v>5</v>
      </c>
      <c r="D5" s="69"/>
      <c r="E5" s="69"/>
      <c r="F5" s="69"/>
      <c r="G5" s="69"/>
      <c r="H5" s="70"/>
    </row>
    <row r="6" spans="1:10" x14ac:dyDescent="0.25">
      <c r="A6" s="66" t="s">
        <v>6</v>
      </c>
      <c r="B6" s="67"/>
      <c r="C6" s="71" t="s">
        <v>7</v>
      </c>
      <c r="D6" s="72"/>
      <c r="E6" s="72"/>
      <c r="F6" s="72"/>
      <c r="G6" s="72"/>
      <c r="H6" s="72"/>
      <c r="I6" s="72"/>
      <c r="J6" s="73"/>
    </row>
    <row r="7" spans="1:10" x14ac:dyDescent="0.25">
      <c r="A7" s="66" t="s">
        <v>8</v>
      </c>
      <c r="B7" s="67"/>
      <c r="C7" s="71" t="s">
        <v>60</v>
      </c>
      <c r="D7" s="72"/>
      <c r="E7" s="72"/>
      <c r="F7" s="72"/>
      <c r="G7" s="72"/>
      <c r="H7" s="73"/>
    </row>
    <row r="8" spans="1:10" x14ac:dyDescent="0.25">
      <c r="A8" s="66" t="s">
        <v>9</v>
      </c>
      <c r="B8" s="67"/>
      <c r="C8" s="68" t="s">
        <v>5</v>
      </c>
      <c r="D8" s="69"/>
      <c r="E8" s="69"/>
      <c r="F8" s="69"/>
      <c r="G8" s="69"/>
      <c r="H8" s="70"/>
    </row>
    <row r="9" spans="1:10" x14ac:dyDescent="0.25">
      <c r="A9" s="66" t="s">
        <v>10</v>
      </c>
      <c r="B9" s="67"/>
      <c r="C9" s="68" t="s">
        <v>5</v>
      </c>
      <c r="D9" s="69"/>
      <c r="E9" s="69"/>
      <c r="F9" s="69"/>
      <c r="G9" s="69"/>
      <c r="H9" s="70"/>
    </row>
    <row r="10" spans="1:10" ht="14.45" customHeight="1" x14ac:dyDescent="0.25">
      <c r="A10" s="66" t="s">
        <v>11</v>
      </c>
      <c r="B10" s="67"/>
      <c r="C10" s="71" t="s">
        <v>65</v>
      </c>
      <c r="D10" s="72"/>
      <c r="E10" s="72"/>
      <c r="F10" s="72"/>
      <c r="G10" s="72"/>
      <c r="H10" s="73"/>
    </row>
    <row r="11" spans="1:10" x14ac:dyDescent="0.25">
      <c r="A11" s="66" t="s">
        <v>13</v>
      </c>
      <c r="B11" s="67"/>
      <c r="C11" s="71" t="s">
        <v>5</v>
      </c>
      <c r="D11" s="72"/>
      <c r="E11" s="72"/>
      <c r="F11" s="72"/>
      <c r="G11" s="72"/>
      <c r="H11" s="73"/>
    </row>
    <row r="12" spans="1:10" ht="14.45" customHeight="1" x14ac:dyDescent="0.25">
      <c r="A12" s="66" t="s">
        <v>14</v>
      </c>
      <c r="B12" s="67"/>
      <c r="C12" s="74" t="s">
        <v>66</v>
      </c>
      <c r="D12" s="75"/>
      <c r="E12" s="75"/>
      <c r="F12" s="75"/>
      <c r="G12" s="75"/>
      <c r="H12" s="76"/>
    </row>
    <row r="13" spans="1:10" ht="14.45" customHeight="1" x14ac:dyDescent="0.25">
      <c r="A13" s="77" t="s">
        <v>16</v>
      </c>
      <c r="B13" s="78"/>
      <c r="C13" s="71"/>
      <c r="D13" s="72"/>
      <c r="E13" s="72"/>
      <c r="F13" s="72"/>
      <c r="G13" s="72"/>
      <c r="H13" s="73"/>
    </row>
    <row r="14" spans="1:10" x14ac:dyDescent="0.25">
      <c r="A14" s="66" t="s">
        <v>17</v>
      </c>
      <c r="B14" s="67"/>
      <c r="C14" s="71" t="s">
        <v>5</v>
      </c>
      <c r="D14" s="72"/>
      <c r="E14" s="72"/>
      <c r="F14" s="72"/>
      <c r="G14" s="72"/>
      <c r="H14" s="73"/>
    </row>
    <row r="15" spans="1:10" x14ac:dyDescent="0.25">
      <c r="A15" s="55" t="s">
        <v>18</v>
      </c>
      <c r="B15" s="55"/>
      <c r="C15" s="55"/>
      <c r="D15" s="55"/>
      <c r="E15" s="55"/>
      <c r="F15" s="55"/>
      <c r="G15" s="55"/>
      <c r="H15" s="55"/>
    </row>
    <row r="16" spans="1:10" x14ac:dyDescent="0.25">
      <c r="A16" s="1" t="s">
        <v>19</v>
      </c>
      <c r="B16" s="1" t="s">
        <v>20</v>
      </c>
      <c r="C16" s="1" t="s">
        <v>21</v>
      </c>
      <c r="D16" s="2" t="s">
        <v>22</v>
      </c>
      <c r="E16" s="2" t="s">
        <v>23</v>
      </c>
      <c r="F16" s="2" t="s">
        <v>24</v>
      </c>
      <c r="G16" s="3" t="s">
        <v>25</v>
      </c>
      <c r="H16" s="3" t="s">
        <v>26</v>
      </c>
      <c r="I16" s="25" t="s">
        <v>173</v>
      </c>
    </row>
    <row r="17" spans="1:12" x14ac:dyDescent="0.25">
      <c r="A17" s="21" t="s">
        <v>185</v>
      </c>
      <c r="B17" s="21" t="s">
        <v>271</v>
      </c>
      <c r="C17" s="21" t="s">
        <v>58</v>
      </c>
      <c r="D17" s="21" t="s">
        <v>186</v>
      </c>
      <c r="E17" s="21" t="s">
        <v>5</v>
      </c>
      <c r="F17" s="21" t="s">
        <v>5</v>
      </c>
      <c r="G17" s="21" t="s">
        <v>187</v>
      </c>
      <c r="H17" s="21"/>
    </row>
    <row r="18" spans="1:12" ht="120" x14ac:dyDescent="0.25">
      <c r="A18" s="21" t="s">
        <v>185</v>
      </c>
      <c r="B18" t="s">
        <v>267</v>
      </c>
      <c r="C18" s="21" t="s">
        <v>58</v>
      </c>
      <c r="D18" s="21" t="s">
        <v>27</v>
      </c>
      <c r="E18" s="21" t="s">
        <v>28</v>
      </c>
      <c r="F18" s="21" t="s">
        <v>58</v>
      </c>
      <c r="G18" s="6" t="s">
        <v>363</v>
      </c>
      <c r="H18" s="21"/>
    </row>
    <row r="19" spans="1:12" ht="105" x14ac:dyDescent="0.25">
      <c r="A19" s="21" t="s">
        <v>185</v>
      </c>
      <c r="B19" s="21" t="s">
        <v>70</v>
      </c>
      <c r="C19" s="21" t="s">
        <v>58</v>
      </c>
      <c r="D19" s="21" t="s">
        <v>248</v>
      </c>
      <c r="E19" s="21" t="s">
        <v>70</v>
      </c>
      <c r="F19" s="21" t="s">
        <v>58</v>
      </c>
      <c r="G19" s="6" t="s">
        <v>364</v>
      </c>
      <c r="H19" s="21"/>
    </row>
    <row r="20" spans="1:12" ht="105" x14ac:dyDescent="0.25">
      <c r="A20" s="21" t="s">
        <v>185</v>
      </c>
      <c r="B20" s="21" t="s">
        <v>71</v>
      </c>
      <c r="C20" s="21" t="s">
        <v>58</v>
      </c>
      <c r="D20" s="21" t="s">
        <v>248</v>
      </c>
      <c r="E20" s="21" t="s">
        <v>70</v>
      </c>
      <c r="F20" s="21" t="s">
        <v>58</v>
      </c>
      <c r="G20" s="6" t="s">
        <v>365</v>
      </c>
      <c r="H20" s="21"/>
      <c r="I20" s="21"/>
      <c r="J20" s="21"/>
      <c r="K20" s="21"/>
      <c r="L20" s="21"/>
    </row>
    <row r="21" spans="1:12" ht="105" x14ac:dyDescent="0.25">
      <c r="A21" s="21" t="s">
        <v>185</v>
      </c>
      <c r="B21" s="21" t="s">
        <v>73</v>
      </c>
      <c r="C21" s="21" t="s">
        <v>58</v>
      </c>
      <c r="D21" s="21" t="s">
        <v>250</v>
      </c>
      <c r="E21" s="21" t="s">
        <v>72</v>
      </c>
      <c r="F21" s="21" t="s">
        <v>58</v>
      </c>
      <c r="G21" s="6" t="s">
        <v>366</v>
      </c>
      <c r="H21" s="21"/>
      <c r="I21" s="21"/>
      <c r="J21" s="21"/>
      <c r="K21" s="21"/>
      <c r="L21" s="21"/>
    </row>
    <row r="22" spans="1:12" ht="120" x14ac:dyDescent="0.25">
      <c r="A22" s="21" t="s">
        <v>185</v>
      </c>
      <c r="B22" s="21" t="s">
        <v>75</v>
      </c>
      <c r="C22" s="21" t="s">
        <v>58</v>
      </c>
      <c r="D22" s="21" t="s">
        <v>249</v>
      </c>
      <c r="E22" s="21" t="s">
        <v>75</v>
      </c>
      <c r="F22" s="21" t="s">
        <v>58</v>
      </c>
      <c r="G22" s="6" t="s">
        <v>367</v>
      </c>
      <c r="H22" s="21"/>
      <c r="I22" s="21"/>
      <c r="J22" s="21"/>
      <c r="K22" s="21"/>
      <c r="L22" s="21"/>
    </row>
    <row r="23" spans="1:12" x14ac:dyDescent="0.25">
      <c r="A23" s="21" t="s">
        <v>185</v>
      </c>
      <c r="B23" t="s">
        <v>77</v>
      </c>
      <c r="C23" t="s">
        <v>78</v>
      </c>
      <c r="D23" s="21" t="s">
        <v>255</v>
      </c>
      <c r="E23" t="s">
        <v>77</v>
      </c>
      <c r="F23" t="s">
        <v>78</v>
      </c>
      <c r="G23" s="21" t="s">
        <v>351</v>
      </c>
      <c r="H23" s="21"/>
      <c r="I23" s="21"/>
      <c r="J23" s="21"/>
      <c r="K23" s="21"/>
      <c r="L23" s="21"/>
    </row>
    <row r="24" spans="1:12" ht="105" x14ac:dyDescent="0.25">
      <c r="A24" s="21" t="s">
        <v>185</v>
      </c>
      <c r="B24" s="21" t="s">
        <v>57</v>
      </c>
      <c r="C24" s="21" t="s">
        <v>58</v>
      </c>
      <c r="D24" s="21" t="s">
        <v>247</v>
      </c>
      <c r="E24" s="21" t="s">
        <v>57</v>
      </c>
      <c r="F24" s="21" t="s">
        <v>58</v>
      </c>
      <c r="G24" s="6" t="s">
        <v>368</v>
      </c>
      <c r="H24" s="21"/>
      <c r="I24" s="21"/>
      <c r="J24" s="21"/>
      <c r="K24" s="21"/>
      <c r="L24" s="21"/>
    </row>
    <row r="25" spans="1:12" x14ac:dyDescent="0.25">
      <c r="A25" s="21" t="s">
        <v>185</v>
      </c>
      <c r="B25" s="21" t="s">
        <v>31</v>
      </c>
      <c r="C25" s="21" t="s">
        <v>125</v>
      </c>
      <c r="D25" s="21" t="s">
        <v>245</v>
      </c>
      <c r="E25" s="21" t="s">
        <v>34</v>
      </c>
      <c r="F25" s="21" t="s">
        <v>125</v>
      </c>
      <c r="G25" s="21" t="s">
        <v>33</v>
      </c>
      <c r="H25" s="21"/>
      <c r="I25" s="21"/>
      <c r="J25" s="21"/>
      <c r="K25" s="21"/>
      <c r="L25" s="21"/>
    </row>
    <row r="26" spans="1:12" x14ac:dyDescent="0.25">
      <c r="A26" s="21" t="s">
        <v>185</v>
      </c>
      <c r="B26" s="21" t="s">
        <v>191</v>
      </c>
      <c r="C26" s="21" t="s">
        <v>99</v>
      </c>
      <c r="D26" s="21" t="s">
        <v>245</v>
      </c>
      <c r="E26" s="21" t="s">
        <v>192</v>
      </c>
      <c r="F26" s="21" t="s">
        <v>38</v>
      </c>
      <c r="G26" s="21" t="s">
        <v>33</v>
      </c>
      <c r="H26" s="21"/>
      <c r="I26" s="21"/>
      <c r="J26" s="21"/>
      <c r="K26" s="21"/>
      <c r="L26" s="21"/>
    </row>
    <row r="27" spans="1:12" x14ac:dyDescent="0.25">
      <c r="A27" s="21" t="s">
        <v>185</v>
      </c>
      <c r="B27" s="21" t="s">
        <v>86</v>
      </c>
      <c r="C27" s="21" t="s">
        <v>125</v>
      </c>
      <c r="D27" s="21" t="s">
        <v>245</v>
      </c>
      <c r="E27" s="21" t="s">
        <v>190</v>
      </c>
      <c r="F27" s="21" t="s">
        <v>125</v>
      </c>
      <c r="G27" s="21" t="s">
        <v>33</v>
      </c>
      <c r="H27" s="21"/>
      <c r="I27" s="21"/>
      <c r="J27" s="21"/>
      <c r="K27" s="21"/>
      <c r="L27" s="21"/>
    </row>
    <row r="28" spans="1:12" x14ac:dyDescent="0.25">
      <c r="A28" s="21" t="s">
        <v>185</v>
      </c>
      <c r="B28" s="21" t="s">
        <v>188</v>
      </c>
      <c r="C28" s="21" t="s">
        <v>125</v>
      </c>
      <c r="D28" s="21" t="s">
        <v>245</v>
      </c>
      <c r="E28" s="21" t="s">
        <v>189</v>
      </c>
      <c r="F28" s="21" t="s">
        <v>125</v>
      </c>
      <c r="G28" s="21" t="s">
        <v>33</v>
      </c>
      <c r="H28" s="21"/>
      <c r="I28" s="21"/>
      <c r="J28" s="21"/>
      <c r="K28" s="21"/>
      <c r="L28" s="21"/>
    </row>
    <row r="29" spans="1:12" x14ac:dyDescent="0.25">
      <c r="A29" s="21" t="s">
        <v>185</v>
      </c>
      <c r="B29" s="21" t="s">
        <v>272</v>
      </c>
      <c r="C29" s="21" t="s">
        <v>125</v>
      </c>
      <c r="D29" s="21" t="s">
        <v>245</v>
      </c>
      <c r="E29" s="21" t="s">
        <v>172</v>
      </c>
      <c r="F29" s="21" t="s">
        <v>125</v>
      </c>
      <c r="G29" s="21" t="s">
        <v>33</v>
      </c>
      <c r="H29" s="21"/>
      <c r="I29" s="21"/>
      <c r="J29" s="21"/>
      <c r="K29" s="21"/>
      <c r="L29" s="21"/>
    </row>
    <row r="30" spans="1:12" x14ac:dyDescent="0.25">
      <c r="A30" s="21" t="s">
        <v>185</v>
      </c>
      <c r="B30" s="21" t="s">
        <v>95</v>
      </c>
      <c r="C30" s="21" t="s">
        <v>125</v>
      </c>
      <c r="D30" s="21" t="s">
        <v>245</v>
      </c>
      <c r="E30" s="21" t="s">
        <v>96</v>
      </c>
      <c r="F30" s="21" t="s">
        <v>125</v>
      </c>
      <c r="G30" s="21" t="s">
        <v>33</v>
      </c>
      <c r="H30" s="21"/>
      <c r="I30" s="21"/>
      <c r="J30" s="21"/>
      <c r="K30" s="21"/>
      <c r="L30" s="21"/>
    </row>
    <row r="31" spans="1:12" x14ac:dyDescent="0.25">
      <c r="A31" s="21" t="s">
        <v>185</v>
      </c>
      <c r="B31" s="21" t="s">
        <v>129</v>
      </c>
      <c r="C31" s="21" t="s">
        <v>99</v>
      </c>
      <c r="D31" s="21" t="s">
        <v>245</v>
      </c>
      <c r="E31" s="21" t="s">
        <v>231</v>
      </c>
      <c r="F31" s="21" t="s">
        <v>38</v>
      </c>
      <c r="G31" s="21" t="s">
        <v>33</v>
      </c>
      <c r="H31" s="21"/>
      <c r="I31" s="21"/>
      <c r="J31" s="21"/>
      <c r="K31" s="21"/>
      <c r="L31" s="21"/>
    </row>
    <row r="32" spans="1:12" x14ac:dyDescent="0.25">
      <c r="A32" s="21" t="s">
        <v>185</v>
      </c>
      <c r="B32" s="21" t="s">
        <v>114</v>
      </c>
      <c r="C32" s="21" t="s">
        <v>111</v>
      </c>
      <c r="D32" s="21" t="s">
        <v>5</v>
      </c>
      <c r="E32" s="21" t="s">
        <v>5</v>
      </c>
      <c r="F32" s="21" t="s">
        <v>5</v>
      </c>
      <c r="G32" s="21" t="s">
        <v>337</v>
      </c>
      <c r="H32" s="21"/>
      <c r="I32" s="21"/>
      <c r="J32" s="21"/>
      <c r="K32" s="21"/>
      <c r="L32" s="21"/>
    </row>
    <row r="33" spans="1:12" x14ac:dyDescent="0.25">
      <c r="A33" s="21" t="s">
        <v>185</v>
      </c>
      <c r="B33" s="21" t="s">
        <v>204</v>
      </c>
      <c r="C33" s="21" t="s">
        <v>99</v>
      </c>
      <c r="D33" s="21" t="s">
        <v>245</v>
      </c>
      <c r="E33" s="21" t="s">
        <v>205</v>
      </c>
      <c r="F33" s="21" t="s">
        <v>38</v>
      </c>
      <c r="G33" s="21" t="s">
        <v>33</v>
      </c>
      <c r="H33" s="21"/>
      <c r="I33" s="21"/>
      <c r="J33" s="21"/>
      <c r="K33" s="21"/>
      <c r="L33" s="21"/>
    </row>
    <row r="34" spans="1:12" x14ac:dyDescent="0.25">
      <c r="A34" s="21" t="s">
        <v>185</v>
      </c>
      <c r="B34" s="21" t="s">
        <v>198</v>
      </c>
      <c r="C34" s="21" t="s">
        <v>99</v>
      </c>
      <c r="D34" s="21" t="s">
        <v>245</v>
      </c>
      <c r="E34" s="21" t="s">
        <v>199</v>
      </c>
      <c r="F34" s="21" t="s">
        <v>38</v>
      </c>
      <c r="G34" s="21" t="s">
        <v>33</v>
      </c>
      <c r="H34" s="21"/>
      <c r="I34" s="21"/>
      <c r="J34" s="21"/>
      <c r="K34" s="21"/>
      <c r="L34" s="21"/>
    </row>
    <row r="35" spans="1:12" x14ac:dyDescent="0.25">
      <c r="A35" s="21" t="s">
        <v>185</v>
      </c>
      <c r="B35" s="21" t="s">
        <v>197</v>
      </c>
      <c r="C35" s="21" t="s">
        <v>99</v>
      </c>
      <c r="D35" s="21" t="s">
        <v>5</v>
      </c>
      <c r="E35" s="21" t="s">
        <v>5</v>
      </c>
      <c r="F35" s="21" t="s">
        <v>5</v>
      </c>
      <c r="G35" s="21" t="s">
        <v>337</v>
      </c>
      <c r="H35" s="21"/>
      <c r="I35" s="21"/>
      <c r="J35" s="21"/>
      <c r="K35" s="21"/>
      <c r="L35" s="21"/>
    </row>
    <row r="36" spans="1:12" x14ac:dyDescent="0.25">
      <c r="A36" s="21" t="s">
        <v>185</v>
      </c>
      <c r="B36" s="21" t="s">
        <v>200</v>
      </c>
      <c r="C36" s="21" t="s">
        <v>111</v>
      </c>
      <c r="D36" s="21" t="s">
        <v>245</v>
      </c>
      <c r="E36" s="21" t="s">
        <v>201</v>
      </c>
      <c r="F36" s="21" t="s">
        <v>112</v>
      </c>
      <c r="G36" s="21" t="s">
        <v>33</v>
      </c>
      <c r="H36" s="21"/>
      <c r="I36" s="21"/>
      <c r="J36" s="21"/>
      <c r="K36" s="21"/>
      <c r="L36" s="21"/>
    </row>
    <row r="37" spans="1:12" x14ac:dyDescent="0.25">
      <c r="A37" s="21" t="s">
        <v>185</v>
      </c>
      <c r="B37" s="21" t="s">
        <v>209</v>
      </c>
      <c r="C37" s="21" t="s">
        <v>99</v>
      </c>
      <c r="D37" s="21" t="s">
        <v>245</v>
      </c>
      <c r="E37" s="21" t="s">
        <v>210</v>
      </c>
      <c r="F37" s="21" t="s">
        <v>38</v>
      </c>
      <c r="G37" s="21" t="s">
        <v>33</v>
      </c>
      <c r="H37" s="21"/>
      <c r="I37" s="21"/>
      <c r="J37" s="21"/>
      <c r="K37" s="21"/>
      <c r="L37" s="21"/>
    </row>
    <row r="38" spans="1:12" x14ac:dyDescent="0.25">
      <c r="A38" s="21" t="s">
        <v>185</v>
      </c>
      <c r="B38" s="21" t="s">
        <v>211</v>
      </c>
      <c r="C38" s="21" t="s">
        <v>111</v>
      </c>
      <c r="D38" s="21" t="s">
        <v>245</v>
      </c>
      <c r="E38" s="21" t="s">
        <v>212</v>
      </c>
      <c r="F38" s="21" t="s">
        <v>112</v>
      </c>
      <c r="G38" s="21" t="s">
        <v>33</v>
      </c>
      <c r="H38" s="21"/>
    </row>
    <row r="39" spans="1:12" x14ac:dyDescent="0.25">
      <c r="A39" s="21" t="s">
        <v>185</v>
      </c>
      <c r="B39" s="21" t="s">
        <v>206</v>
      </c>
      <c r="C39" s="21" t="s">
        <v>99</v>
      </c>
      <c r="D39" s="21" t="s">
        <v>5</v>
      </c>
      <c r="E39" s="21" t="s">
        <v>5</v>
      </c>
      <c r="F39" s="21" t="s">
        <v>5</v>
      </c>
      <c r="G39" s="21" t="s">
        <v>337</v>
      </c>
      <c r="H39" s="21"/>
    </row>
    <row r="40" spans="1:12" x14ac:dyDescent="0.25">
      <c r="A40" s="21" t="s">
        <v>185</v>
      </c>
      <c r="B40" s="21" t="s">
        <v>213</v>
      </c>
      <c r="C40" s="21" t="s">
        <v>99</v>
      </c>
      <c r="D40" s="21" t="s">
        <v>245</v>
      </c>
      <c r="E40" s="21" t="s">
        <v>214</v>
      </c>
      <c r="F40" s="21" t="s">
        <v>38</v>
      </c>
      <c r="G40" s="21" t="s">
        <v>33</v>
      </c>
      <c r="H40" s="21"/>
    </row>
    <row r="41" spans="1:12" x14ac:dyDescent="0.25">
      <c r="A41" s="21" t="s">
        <v>185</v>
      </c>
      <c r="B41" s="21" t="s">
        <v>207</v>
      </c>
      <c r="C41" s="21" t="s">
        <v>99</v>
      </c>
      <c r="D41" s="21" t="s">
        <v>245</v>
      </c>
      <c r="E41" s="21" t="s">
        <v>208</v>
      </c>
      <c r="F41" s="21" t="s">
        <v>38</v>
      </c>
      <c r="G41" s="21" t="s">
        <v>33</v>
      </c>
      <c r="H41" s="21"/>
    </row>
    <row r="42" spans="1:12" x14ac:dyDescent="0.25">
      <c r="A42" s="21" t="s">
        <v>185</v>
      </c>
      <c r="B42" s="21" t="s">
        <v>195</v>
      </c>
      <c r="C42" s="21" t="s">
        <v>99</v>
      </c>
      <c r="D42" s="21" t="s">
        <v>245</v>
      </c>
      <c r="E42" s="21" t="s">
        <v>196</v>
      </c>
      <c r="F42" s="21" t="s">
        <v>38</v>
      </c>
      <c r="G42" s="21" t="s">
        <v>33</v>
      </c>
      <c r="H42" s="21"/>
    </row>
    <row r="43" spans="1:12" x14ac:dyDescent="0.25">
      <c r="A43" s="21" t="s">
        <v>185</v>
      </c>
      <c r="B43" s="21" t="s">
        <v>215</v>
      </c>
      <c r="C43" s="21" t="s">
        <v>111</v>
      </c>
      <c r="D43" s="21" t="s">
        <v>5</v>
      </c>
      <c r="E43" s="21" t="s">
        <v>5</v>
      </c>
      <c r="F43" s="21" t="s">
        <v>5</v>
      </c>
      <c r="G43" s="21" t="s">
        <v>337</v>
      </c>
      <c r="H43" s="21"/>
    </row>
    <row r="44" spans="1:12" x14ac:dyDescent="0.25">
      <c r="A44" s="21" t="s">
        <v>185</v>
      </c>
      <c r="B44" s="21" t="s">
        <v>202</v>
      </c>
      <c r="C44" s="21" t="s">
        <v>99</v>
      </c>
      <c r="D44" s="21" t="s">
        <v>245</v>
      </c>
      <c r="E44" s="21" t="s">
        <v>203</v>
      </c>
      <c r="F44" s="21" t="s">
        <v>38</v>
      </c>
      <c r="G44" s="21" t="s">
        <v>33</v>
      </c>
      <c r="H44" s="21"/>
    </row>
    <row r="45" spans="1:12" x14ac:dyDescent="0.25">
      <c r="A45" s="21" t="s">
        <v>185</v>
      </c>
      <c r="B45" s="21" t="s">
        <v>229</v>
      </c>
      <c r="C45" s="21" t="s">
        <v>106</v>
      </c>
      <c r="D45" s="21" t="s">
        <v>245</v>
      </c>
      <c r="E45" s="21" t="s">
        <v>46</v>
      </c>
      <c r="F45" s="21" t="s">
        <v>104</v>
      </c>
      <c r="G45" s="21" t="s">
        <v>33</v>
      </c>
      <c r="H45" s="21"/>
    </row>
    <row r="46" spans="1:12" x14ac:dyDescent="0.25">
      <c r="A46" s="21" t="s">
        <v>185</v>
      </c>
      <c r="B46" s="21" t="s">
        <v>230</v>
      </c>
      <c r="C46" s="21" t="s">
        <v>106</v>
      </c>
      <c r="D46" s="21" t="s">
        <v>245</v>
      </c>
      <c r="E46" s="21" t="s">
        <v>48</v>
      </c>
      <c r="F46" s="21" t="s">
        <v>104</v>
      </c>
      <c r="G46" s="21" t="s">
        <v>33</v>
      </c>
      <c r="H46" s="21"/>
    </row>
    <row r="47" spans="1:12" x14ac:dyDescent="0.25">
      <c r="A47" s="21" t="s">
        <v>185</v>
      </c>
      <c r="B47" s="21" t="s">
        <v>193</v>
      </c>
      <c r="C47" s="21" t="s">
        <v>111</v>
      </c>
      <c r="D47" s="21" t="s">
        <v>245</v>
      </c>
      <c r="E47" s="21" t="s">
        <v>194</v>
      </c>
      <c r="F47" s="21" t="s">
        <v>112</v>
      </c>
      <c r="G47" s="21" t="s">
        <v>33</v>
      </c>
      <c r="H47" s="21"/>
      <c r="I47" s="21"/>
      <c r="J47" s="21"/>
      <c r="K47" s="21"/>
      <c r="L47" s="21"/>
    </row>
    <row r="48" spans="1:12" x14ac:dyDescent="0.25">
      <c r="A48" s="21" t="s">
        <v>185</v>
      </c>
      <c r="B48" s="21" t="s">
        <v>234</v>
      </c>
      <c r="C48" s="21" t="s">
        <v>58</v>
      </c>
      <c r="D48" s="21" t="s">
        <v>245</v>
      </c>
      <c r="E48" s="21" t="s">
        <v>235</v>
      </c>
      <c r="F48" s="21" t="s">
        <v>133</v>
      </c>
      <c r="G48" s="21" t="s">
        <v>40</v>
      </c>
      <c r="H48" s="21"/>
    </row>
    <row r="49" spans="1:8" x14ac:dyDescent="0.25">
      <c r="A49" s="21" t="s">
        <v>185</v>
      </c>
      <c r="B49" s="21" t="s">
        <v>236</v>
      </c>
      <c r="C49" s="21" t="s">
        <v>58</v>
      </c>
      <c r="D49" s="21" t="s">
        <v>245</v>
      </c>
      <c r="E49" s="21" t="s">
        <v>237</v>
      </c>
      <c r="F49" s="21" t="s">
        <v>133</v>
      </c>
      <c r="G49" s="21" t="s">
        <v>40</v>
      </c>
      <c r="H49" s="21"/>
    </row>
    <row r="50" spans="1:8" x14ac:dyDescent="0.25">
      <c r="A50" s="21" t="s">
        <v>185</v>
      </c>
      <c r="B50" s="21" t="s">
        <v>232</v>
      </c>
      <c r="C50" s="21" t="s">
        <v>58</v>
      </c>
      <c r="D50" s="21" t="s">
        <v>245</v>
      </c>
      <c r="E50" s="21" t="s">
        <v>233</v>
      </c>
      <c r="F50" s="21" t="s">
        <v>133</v>
      </c>
      <c r="G50" s="21" t="s">
        <v>40</v>
      </c>
      <c r="H50" s="21"/>
    </row>
    <row r="51" spans="1:8" x14ac:dyDescent="0.25">
      <c r="A51" s="21" t="s">
        <v>185</v>
      </c>
      <c r="B51" s="21" t="s">
        <v>224</v>
      </c>
      <c r="C51" s="21" t="s">
        <v>58</v>
      </c>
      <c r="D51" s="21" t="s">
        <v>245</v>
      </c>
      <c r="E51" s="21" t="s">
        <v>225</v>
      </c>
      <c r="F51" s="21" t="s">
        <v>133</v>
      </c>
      <c r="G51" s="21" t="s">
        <v>226</v>
      </c>
      <c r="H51" s="21"/>
    </row>
    <row r="52" spans="1:8" x14ac:dyDescent="0.25">
      <c r="A52" s="21" t="s">
        <v>185</v>
      </c>
      <c r="B52" s="21" t="s">
        <v>220</v>
      </c>
      <c r="C52" s="21" t="s">
        <v>58</v>
      </c>
      <c r="D52" s="21" t="s">
        <v>245</v>
      </c>
      <c r="E52" s="21" t="s">
        <v>221</v>
      </c>
      <c r="F52" s="21" t="s">
        <v>38</v>
      </c>
      <c r="G52" s="21" t="str">
        <f>"Case when lower(STG."&amp;E52&amp;")='yes' then 1 else 0 end as "&amp;B52</f>
        <v>Case when lower(STG.expr_vod__c)='yes' then 1 else 0 end as SRVY_EXPR_FLAG</v>
      </c>
      <c r="H52" s="21"/>
    </row>
    <row r="53" spans="1:8" x14ac:dyDescent="0.25">
      <c r="A53" s="21" t="s">
        <v>185</v>
      </c>
      <c r="B53" s="21" t="s">
        <v>222</v>
      </c>
      <c r="C53" s="21" t="s">
        <v>58</v>
      </c>
      <c r="D53" s="21" t="s">
        <v>245</v>
      </c>
      <c r="E53" s="21" t="s">
        <v>223</v>
      </c>
      <c r="F53" s="21" t="s">
        <v>133</v>
      </c>
      <c r="G53" s="21" t="str">
        <f>"Case when lower(STG."&amp;E53&amp;")='true' then 1 else 0 end as "&amp;B53</f>
        <v>Case when lower(STG.open_vod__c)='true' then 1 else 0 end as SRVY_OPEN_FLAG</v>
      </c>
      <c r="H53" s="21"/>
    </row>
    <row r="54" spans="1:8" x14ac:dyDescent="0.25">
      <c r="A54" s="21" t="s">
        <v>185</v>
      </c>
      <c r="B54" s="21" t="s">
        <v>227</v>
      </c>
      <c r="C54" s="21" t="s">
        <v>58</v>
      </c>
      <c r="D54" s="21" t="s">
        <v>245</v>
      </c>
      <c r="E54" s="21" t="s">
        <v>228</v>
      </c>
      <c r="F54" s="21" t="s">
        <v>133</v>
      </c>
      <c r="G54" s="21" t="s">
        <v>40</v>
      </c>
      <c r="H54" s="21"/>
    </row>
    <row r="55" spans="1:8" x14ac:dyDescent="0.25">
      <c r="A55" s="21" t="s">
        <v>185</v>
      </c>
      <c r="B55" s="21" t="s">
        <v>238</v>
      </c>
      <c r="C55" s="21" t="s">
        <v>58</v>
      </c>
      <c r="D55" s="21" t="s">
        <v>245</v>
      </c>
      <c r="E55" s="21" t="s">
        <v>239</v>
      </c>
      <c r="F55" s="21" t="s">
        <v>133</v>
      </c>
      <c r="G55" s="21" t="s">
        <v>40</v>
      </c>
      <c r="H55" s="21"/>
    </row>
    <row r="56" spans="1:8" ht="26.45" customHeight="1" x14ac:dyDescent="0.25">
      <c r="A56" s="21" t="s">
        <v>185</v>
      </c>
      <c r="B56" s="21" t="s">
        <v>258</v>
      </c>
      <c r="C56" s="21" t="s">
        <v>58</v>
      </c>
      <c r="D56" s="21" t="s">
        <v>245</v>
      </c>
      <c r="E56" s="21" t="s">
        <v>134</v>
      </c>
      <c r="F56" s="21" t="s">
        <v>135</v>
      </c>
      <c r="G56" s="21" t="str">
        <f>"Case when lower(STG."&amp;E56&amp;")='true' then 1 else 0 end as "&amp;B56</f>
        <v>Case when lower(STG.ISDELETED)='true' then 1 else 0 end as SRC_ACTV_FLAG</v>
      </c>
      <c r="H56" s="21"/>
    </row>
    <row r="57" spans="1:8" x14ac:dyDescent="0.25">
      <c r="A57" s="21" t="s">
        <v>185</v>
      </c>
      <c r="B57" s="21" t="s">
        <v>216</v>
      </c>
      <c r="C57" s="21" t="s">
        <v>58</v>
      </c>
      <c r="D57" s="21" t="s">
        <v>245</v>
      </c>
      <c r="E57" s="21" t="s">
        <v>217</v>
      </c>
      <c r="F57" s="21" t="s">
        <v>117</v>
      </c>
      <c r="G57" s="21" t="s">
        <v>33</v>
      </c>
      <c r="H57" s="21"/>
    </row>
    <row r="58" spans="1:8" x14ac:dyDescent="0.25">
      <c r="A58" s="21" t="s">
        <v>185</v>
      </c>
      <c r="B58" s="21" t="s">
        <v>218</v>
      </c>
      <c r="C58" s="21" t="s">
        <v>58</v>
      </c>
      <c r="D58" s="21" t="s">
        <v>245</v>
      </c>
      <c r="E58" s="21" t="s">
        <v>219</v>
      </c>
      <c r="F58" s="21" t="s">
        <v>117</v>
      </c>
      <c r="G58" s="21" t="s">
        <v>33</v>
      </c>
      <c r="H58" s="21"/>
    </row>
    <row r="59" spans="1:8" x14ac:dyDescent="0.25">
      <c r="A59" s="21" t="s">
        <v>185</v>
      </c>
      <c r="B59" s="21" t="s">
        <v>51</v>
      </c>
      <c r="C59" s="21" t="s">
        <v>58</v>
      </c>
      <c r="D59" s="21" t="s">
        <v>245</v>
      </c>
      <c r="E59" s="21" t="s">
        <v>51</v>
      </c>
      <c r="F59" s="21" t="s">
        <v>58</v>
      </c>
      <c r="G59" s="21" t="s">
        <v>81</v>
      </c>
      <c r="H59" s="21"/>
    </row>
    <row r="60" spans="1:8" x14ac:dyDescent="0.25">
      <c r="A60" s="21" t="s">
        <v>185</v>
      </c>
      <c r="B60" s="21" t="s">
        <v>52</v>
      </c>
      <c r="C60" s="21" t="s">
        <v>58</v>
      </c>
      <c r="D60" s="21" t="s">
        <v>245</v>
      </c>
      <c r="E60" s="21" t="s">
        <v>52</v>
      </c>
      <c r="F60" s="21" t="s">
        <v>58</v>
      </c>
      <c r="G60" s="21" t="s">
        <v>81</v>
      </c>
      <c r="H60" s="21"/>
    </row>
    <row r="61" spans="1:8" x14ac:dyDescent="0.25">
      <c r="A61" s="21" t="s">
        <v>185</v>
      </c>
      <c r="B61" s="21" t="s">
        <v>259</v>
      </c>
      <c r="C61" s="21" t="s">
        <v>103</v>
      </c>
      <c r="D61" s="21" t="s">
        <v>240</v>
      </c>
      <c r="E61" s="21" t="s">
        <v>240</v>
      </c>
      <c r="F61" s="21" t="s">
        <v>240</v>
      </c>
      <c r="G61" s="21" t="s">
        <v>45</v>
      </c>
      <c r="H61" s="21"/>
    </row>
    <row r="62" spans="1:8" x14ac:dyDescent="0.25">
      <c r="A62" s="21" t="s">
        <v>185</v>
      </c>
      <c r="B62" s="21" t="s">
        <v>260</v>
      </c>
      <c r="C62" s="21" t="s">
        <v>138</v>
      </c>
      <c r="D62" s="21" t="s">
        <v>240</v>
      </c>
      <c r="E62" s="21" t="s">
        <v>240</v>
      </c>
      <c r="F62" s="21" t="s">
        <v>240</v>
      </c>
      <c r="G62" s="21" t="s">
        <v>54</v>
      </c>
      <c r="H62" s="21"/>
    </row>
    <row r="63" spans="1:8" x14ac:dyDescent="0.25">
      <c r="A63" s="21" t="s">
        <v>185</v>
      </c>
      <c r="B63" s="21" t="s">
        <v>261</v>
      </c>
      <c r="C63" s="21" t="s">
        <v>103</v>
      </c>
      <c r="D63" s="21" t="s">
        <v>240</v>
      </c>
      <c r="E63" s="21" t="s">
        <v>240</v>
      </c>
      <c r="F63" s="21" t="s">
        <v>240</v>
      </c>
      <c r="G63" s="21" t="s">
        <v>45</v>
      </c>
      <c r="H63" s="21"/>
    </row>
    <row r="64" spans="1:8" x14ac:dyDescent="0.25">
      <c r="A64" s="21" t="s">
        <v>185</v>
      </c>
      <c r="B64" s="21" t="s">
        <v>262</v>
      </c>
      <c r="C64" s="21" t="s">
        <v>138</v>
      </c>
      <c r="D64" s="21" t="s">
        <v>240</v>
      </c>
      <c r="E64" s="21" t="s">
        <v>240</v>
      </c>
      <c r="F64" s="21" t="s">
        <v>240</v>
      </c>
      <c r="G64" s="21" t="s">
        <v>54</v>
      </c>
      <c r="H64" s="21"/>
    </row>
    <row r="66" spans="1:6" x14ac:dyDescent="0.25">
      <c r="A66" s="7"/>
    </row>
    <row r="67" spans="1:6" x14ac:dyDescent="0.25">
      <c r="A67" s="7"/>
      <c r="F67" s="24"/>
    </row>
    <row r="68" spans="1:6" x14ac:dyDescent="0.25">
      <c r="A68" s="7"/>
    </row>
    <row r="69" spans="1:6" x14ac:dyDescent="0.25">
      <c r="A69" s="7"/>
    </row>
    <row r="70" spans="1:6" x14ac:dyDescent="0.25">
      <c r="A70" s="7"/>
    </row>
    <row r="71" spans="1:6" x14ac:dyDescent="0.25">
      <c r="A71" s="7"/>
    </row>
    <row r="72" spans="1:6" x14ac:dyDescent="0.25">
      <c r="A72" s="7"/>
    </row>
    <row r="73" spans="1:6" x14ac:dyDescent="0.25">
      <c r="A73" s="6"/>
    </row>
    <row r="74" spans="1:6" x14ac:dyDescent="0.25">
      <c r="A74" s="6"/>
    </row>
    <row r="75" spans="1:6" x14ac:dyDescent="0.25">
      <c r="A75" s="6"/>
    </row>
    <row r="76" spans="1:6" x14ac:dyDescent="0.25">
      <c r="A76" s="6"/>
    </row>
    <row r="77" spans="1:6" x14ac:dyDescent="0.25">
      <c r="A77" s="6"/>
      <c r="F77" s="24"/>
    </row>
    <row r="78" spans="1:6" x14ac:dyDescent="0.25">
      <c r="A78" s="6"/>
    </row>
    <row r="79" spans="1:6" x14ac:dyDescent="0.25">
      <c r="A79" s="6"/>
    </row>
    <row r="80" spans="1:6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7"/>
    </row>
    <row r="94" spans="1:1" x14ac:dyDescent="0.25">
      <c r="A94" s="7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7"/>
    </row>
    <row r="104" spans="1:1" x14ac:dyDescent="0.25">
      <c r="A104" s="7"/>
    </row>
    <row r="105" spans="1:1" x14ac:dyDescent="0.25">
      <c r="A105" s="6"/>
    </row>
    <row r="106" spans="1:1" x14ac:dyDescent="0.25">
      <c r="A106" s="23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</sheetData>
  <mergeCells count="28">
    <mergeCell ref="A14:B14"/>
    <mergeCell ref="C14:H14"/>
    <mergeCell ref="A15:H15"/>
    <mergeCell ref="A11:B11"/>
    <mergeCell ref="C11:H11"/>
    <mergeCell ref="A12:B12"/>
    <mergeCell ref="C12:H12"/>
    <mergeCell ref="A13:B13"/>
    <mergeCell ref="C13:H13"/>
    <mergeCell ref="A8:B8"/>
    <mergeCell ref="C8:H8"/>
    <mergeCell ref="A9:B9"/>
    <mergeCell ref="C9:H9"/>
    <mergeCell ref="A10:B10"/>
    <mergeCell ref="C10:H10"/>
    <mergeCell ref="A5:B5"/>
    <mergeCell ref="C5:H5"/>
    <mergeCell ref="A6:B6"/>
    <mergeCell ref="C6:J6"/>
    <mergeCell ref="A7:B7"/>
    <mergeCell ref="C7:H7"/>
    <mergeCell ref="A4:B4"/>
    <mergeCell ref="C4:H4"/>
    <mergeCell ref="A1:H1"/>
    <mergeCell ref="A2:B2"/>
    <mergeCell ref="C2:H2"/>
    <mergeCell ref="A3:B3"/>
    <mergeCell ref="C3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"/>
  <sheetViews>
    <sheetView topLeftCell="A13" zoomScale="79" zoomScaleNormal="79" workbookViewId="0">
      <selection activeCell="U24" sqref="U24"/>
    </sheetView>
  </sheetViews>
  <sheetFormatPr defaultColWidth="16.28515625" defaultRowHeight="15" x14ac:dyDescent="0.25"/>
  <cols>
    <col min="1" max="1" width="18.7109375" style="39" bestFit="1" customWidth="1"/>
    <col min="2" max="2" width="26.5703125" style="39" bestFit="1" customWidth="1"/>
    <col min="3" max="3" width="19.5703125" style="39" bestFit="1" customWidth="1"/>
    <col min="4" max="4" width="25.85546875" style="39" hidden="1" customWidth="1"/>
    <col min="5" max="5" width="15.85546875" style="39" hidden="1" customWidth="1"/>
    <col min="6" max="6" width="16" style="39" hidden="1" customWidth="1"/>
    <col min="7" max="7" width="41.28515625" style="39" hidden="1" customWidth="1"/>
    <col min="8" max="8" width="0" style="39" hidden="1" customWidth="1"/>
    <col min="9" max="9" width="25.28515625" style="39" hidden="1" customWidth="1"/>
    <col min="10" max="11" width="0" style="39" hidden="1" customWidth="1"/>
    <col min="12" max="12" width="34.28515625" style="39" hidden="1" customWidth="1"/>
    <col min="13" max="13" width="0" style="39" hidden="1" customWidth="1"/>
    <col min="14" max="14" width="19.42578125" style="39" hidden="1" customWidth="1"/>
    <col min="15" max="16" width="0" style="39" hidden="1" customWidth="1"/>
    <col min="17" max="17" width="43.42578125" style="39" hidden="1" customWidth="1"/>
    <col min="18" max="18" width="35.42578125" style="39" customWidth="1"/>
    <col min="19" max="19" width="36.140625" style="39" customWidth="1"/>
    <col min="20" max="20" width="18.140625" style="39" bestFit="1" customWidth="1"/>
    <col min="21" max="21" width="47.28515625" style="39" customWidth="1"/>
    <col min="22" max="16384" width="16.28515625" style="39"/>
  </cols>
  <sheetData>
    <row r="1" spans="1:22" customFormat="1" x14ac:dyDescent="0.25">
      <c r="A1" s="83" t="s">
        <v>64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customFormat="1" ht="14.45" customHeight="1" x14ac:dyDescent="0.25">
      <c r="A2" s="79" t="s">
        <v>0</v>
      </c>
      <c r="B2" s="80"/>
      <c r="C2" s="81" t="s">
        <v>5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2" customFormat="1" ht="14.45" customHeight="1" x14ac:dyDescent="0.25">
      <c r="A3" s="79" t="s">
        <v>1</v>
      </c>
      <c r="B3" s="80"/>
      <c r="C3" s="81" t="s">
        <v>5</v>
      </c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</row>
    <row r="4" spans="1:22" customFormat="1" x14ac:dyDescent="0.25">
      <c r="A4" s="79" t="s">
        <v>2</v>
      </c>
      <c r="B4" s="80"/>
      <c r="C4" s="81" t="s">
        <v>290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</row>
    <row r="5" spans="1:22" customFormat="1" x14ac:dyDescent="0.25">
      <c r="A5" s="79" t="s">
        <v>4</v>
      </c>
      <c r="B5" s="80"/>
      <c r="C5" s="81" t="s">
        <v>5</v>
      </c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</row>
    <row r="6" spans="1:22" customFormat="1" ht="14.45" customHeight="1" x14ac:dyDescent="0.25">
      <c r="A6" s="79" t="s">
        <v>6</v>
      </c>
      <c r="B6" s="80"/>
      <c r="C6" s="81" t="s">
        <v>291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</row>
    <row r="7" spans="1:22" customFormat="1" ht="14.45" customHeight="1" x14ac:dyDescent="0.25">
      <c r="A7" s="79" t="s">
        <v>8</v>
      </c>
      <c r="B7" s="80"/>
      <c r="C7" s="81" t="s">
        <v>291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</row>
    <row r="8" spans="1:22" customFormat="1" x14ac:dyDescent="0.25">
      <c r="A8" s="79" t="s">
        <v>9</v>
      </c>
      <c r="B8" s="80"/>
      <c r="C8" s="81" t="s">
        <v>5</v>
      </c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</row>
    <row r="9" spans="1:22" customFormat="1" x14ac:dyDescent="0.25">
      <c r="A9" s="79" t="s">
        <v>10</v>
      </c>
      <c r="B9" s="80"/>
      <c r="C9" s="81" t="s">
        <v>5</v>
      </c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</row>
    <row r="10" spans="1:22" customFormat="1" x14ac:dyDescent="0.25">
      <c r="A10" s="79" t="s">
        <v>11</v>
      </c>
      <c r="B10" s="80"/>
      <c r="C10" s="81" t="s">
        <v>12</v>
      </c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</row>
    <row r="11" spans="1:22" customFormat="1" x14ac:dyDescent="0.25">
      <c r="A11" s="79" t="s">
        <v>13</v>
      </c>
      <c r="B11" s="80"/>
      <c r="C11" s="81" t="s">
        <v>5</v>
      </c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</row>
    <row r="12" spans="1:22" customFormat="1" x14ac:dyDescent="0.25">
      <c r="A12" s="87" t="s">
        <v>14</v>
      </c>
      <c r="B12" s="88"/>
      <c r="C12" s="81" t="s">
        <v>15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</row>
    <row r="13" spans="1:22" customFormat="1" x14ac:dyDescent="0.25">
      <c r="A13" s="89" t="s">
        <v>16</v>
      </c>
      <c r="B13" s="90"/>
      <c r="C13" s="81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</row>
    <row r="14" spans="1:22" customFormat="1" x14ac:dyDescent="0.25">
      <c r="A14" s="79" t="s">
        <v>17</v>
      </c>
      <c r="B14" s="80"/>
      <c r="C14" s="81" t="s">
        <v>5</v>
      </c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</row>
    <row r="15" spans="1:22" customFormat="1" x14ac:dyDescent="0.25">
      <c r="A15" s="85" t="s">
        <v>18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</row>
    <row r="16" spans="1:22" s="14" customFormat="1" ht="31.5" x14ac:dyDescent="0.2">
      <c r="A16" s="32" t="s">
        <v>19</v>
      </c>
      <c r="B16" s="32" t="s">
        <v>20</v>
      </c>
      <c r="C16" s="32" t="s">
        <v>21</v>
      </c>
      <c r="D16" s="33" t="s">
        <v>22</v>
      </c>
      <c r="E16" s="33" t="s">
        <v>23</v>
      </c>
      <c r="F16" s="33" t="s">
        <v>24</v>
      </c>
      <c r="G16" s="34" t="s">
        <v>25</v>
      </c>
      <c r="H16" s="34" t="s">
        <v>26</v>
      </c>
      <c r="I16" s="33" t="s">
        <v>292</v>
      </c>
      <c r="J16" s="33" t="s">
        <v>23</v>
      </c>
      <c r="K16" s="33" t="s">
        <v>24</v>
      </c>
      <c r="L16" s="34" t="s">
        <v>25</v>
      </c>
      <c r="M16" s="34" t="s">
        <v>26</v>
      </c>
      <c r="N16" s="33" t="s">
        <v>293</v>
      </c>
      <c r="O16" s="33" t="s">
        <v>23</v>
      </c>
      <c r="P16" s="33" t="s">
        <v>24</v>
      </c>
      <c r="Q16" s="34" t="s">
        <v>25</v>
      </c>
      <c r="R16" s="33" t="s">
        <v>294</v>
      </c>
      <c r="S16" s="33" t="s">
        <v>23</v>
      </c>
      <c r="T16" s="33" t="s">
        <v>24</v>
      </c>
      <c r="U16" s="34" t="s">
        <v>25</v>
      </c>
      <c r="V16" s="34" t="s">
        <v>26</v>
      </c>
    </row>
    <row r="17" spans="1:22" s="14" customFormat="1" ht="220.5" x14ac:dyDescent="0.25">
      <c r="A17" s="21" t="s">
        <v>310</v>
      </c>
      <c r="B17" s="21" t="s">
        <v>273</v>
      </c>
      <c r="C17" s="21" t="s">
        <v>58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21" t="str">
        <f>UPPER("d_mkt_srvy_trgt")</f>
        <v>D_MKT_SRVY_TRGT</v>
      </c>
      <c r="S17" s="21" t="str">
        <f>UPPER("srvy_trgt_id")</f>
        <v>SRVY_TRGT_ID</v>
      </c>
      <c r="T17" s="35" t="s">
        <v>58</v>
      </c>
      <c r="U17" s="37" t="s">
        <v>369</v>
      </c>
      <c r="V17" s="36"/>
    </row>
    <row r="18" spans="1:22" ht="15.75" x14ac:dyDescent="0.25">
      <c r="A18" s="21" t="s">
        <v>310</v>
      </c>
      <c r="B18" s="21" t="s">
        <v>267</v>
      </c>
      <c r="C18" s="21" t="s">
        <v>58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21" t="str">
        <f>UPPER("d_mkt_srvy_trgt")</f>
        <v>D_MKT_SRVY_TRGT</v>
      </c>
      <c r="S18" s="21" t="s">
        <v>267</v>
      </c>
      <c r="T18" s="35" t="s">
        <v>58</v>
      </c>
      <c r="U18" s="38" t="s">
        <v>296</v>
      </c>
      <c r="V18" s="38"/>
    </row>
    <row r="19" spans="1:22" ht="15.75" x14ac:dyDescent="0.25">
      <c r="A19" s="21" t="s">
        <v>310</v>
      </c>
      <c r="B19" s="21" t="s">
        <v>77</v>
      </c>
      <c r="C19" s="21" t="s">
        <v>78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21" t="s">
        <v>255</v>
      </c>
      <c r="S19" t="s">
        <v>77</v>
      </c>
      <c r="T19" t="s">
        <v>78</v>
      </c>
      <c r="U19" s="21" t="s">
        <v>351</v>
      </c>
      <c r="V19" s="38"/>
    </row>
    <row r="20" spans="1:22" ht="150" x14ac:dyDescent="0.25">
      <c r="A20" s="21" t="s">
        <v>310</v>
      </c>
      <c r="B20" s="21" t="s">
        <v>57</v>
      </c>
      <c r="C20" s="21" t="s">
        <v>58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21" t="s">
        <v>247</v>
      </c>
      <c r="S20" s="21" t="s">
        <v>57</v>
      </c>
      <c r="T20" s="21" t="s">
        <v>58</v>
      </c>
      <c r="U20" s="6" t="s">
        <v>370</v>
      </c>
      <c r="V20" s="38"/>
    </row>
    <row r="21" spans="1:22" ht="15.75" x14ac:dyDescent="0.25">
      <c r="A21" s="21" t="s">
        <v>310</v>
      </c>
      <c r="B21" s="21" t="s">
        <v>80</v>
      </c>
      <c r="C21" s="21" t="s">
        <v>125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5" t="s">
        <v>295</v>
      </c>
      <c r="S21" s="35" t="s">
        <v>352</v>
      </c>
      <c r="T21" s="40" t="s">
        <v>159</v>
      </c>
      <c r="U21" s="38" t="s">
        <v>296</v>
      </c>
      <c r="V21" s="38"/>
    </row>
    <row r="22" spans="1:22" s="41" customFormat="1" ht="60" x14ac:dyDescent="0.25">
      <c r="A22" s="21" t="s">
        <v>310</v>
      </c>
      <c r="B22" s="21" t="s">
        <v>297</v>
      </c>
      <c r="C22" s="21" t="s">
        <v>125</v>
      </c>
      <c r="D22" s="21" t="s">
        <v>255</v>
      </c>
      <c r="E22" s="21" t="s">
        <v>298</v>
      </c>
      <c r="F22" s="21" t="s">
        <v>78</v>
      </c>
      <c r="G22" s="10" t="s">
        <v>311</v>
      </c>
      <c r="H22" s="6"/>
      <c r="I22" s="42"/>
      <c r="J22" s="42"/>
      <c r="K22" s="42"/>
      <c r="L22" s="42"/>
      <c r="M22" s="42"/>
      <c r="N22" s="42"/>
      <c r="O22" s="42"/>
      <c r="P22" s="42"/>
      <c r="Q22" s="42"/>
      <c r="R22" s="35" t="s">
        <v>295</v>
      </c>
      <c r="S22" s="21" t="s">
        <v>158</v>
      </c>
      <c r="T22" s="40" t="s">
        <v>159</v>
      </c>
      <c r="U22" s="38" t="s">
        <v>296</v>
      </c>
      <c r="V22" s="42"/>
    </row>
    <row r="23" spans="1:22" customFormat="1" ht="15.75" x14ac:dyDescent="0.25">
      <c r="A23" s="21" t="s">
        <v>310</v>
      </c>
      <c r="B23" s="21" t="s">
        <v>272</v>
      </c>
      <c r="C23" s="21" t="s">
        <v>125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35" t="s">
        <v>5</v>
      </c>
      <c r="S23" s="35" t="s">
        <v>5</v>
      </c>
      <c r="T23" s="35" t="s">
        <v>5</v>
      </c>
      <c r="U23" s="45" t="s">
        <v>353</v>
      </c>
      <c r="V23" s="21"/>
    </row>
    <row r="24" spans="1:22" ht="78.75" x14ac:dyDescent="0.25">
      <c r="A24" s="21" t="s">
        <v>310</v>
      </c>
      <c r="B24" s="21" t="s">
        <v>301</v>
      </c>
      <c r="C24" s="21" t="s">
        <v>111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5" t="s">
        <v>295</v>
      </c>
      <c r="S24" s="35" t="str">
        <f>UPPER("Dcml_vod__c,Resp_vod__c,Num_vod__c,Datetime_vod__c,Dt_vod__c,txt_vod__c")</f>
        <v>DCML_VOD__C,RESP_VOD__C,NUM_VOD__C,DATETIME_VOD__C,DT_VOD__C,TXT_VOD__C</v>
      </c>
      <c r="T24" s="40" t="s">
        <v>111</v>
      </c>
      <c r="U24" s="38" t="s">
        <v>354</v>
      </c>
      <c r="V24" s="38"/>
    </row>
    <row r="25" spans="1:22" ht="15.75" x14ac:dyDescent="0.25">
      <c r="A25" s="21" t="s">
        <v>310</v>
      </c>
      <c r="B25" s="21" t="s">
        <v>300</v>
      </c>
      <c r="C25" s="21" t="s">
        <v>111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5" t="s">
        <v>295</v>
      </c>
      <c r="S25" s="35" t="s">
        <v>338</v>
      </c>
      <c r="T25" s="40" t="s">
        <v>111</v>
      </c>
      <c r="U25" s="38" t="s">
        <v>296</v>
      </c>
      <c r="V25" s="38"/>
    </row>
    <row r="26" spans="1:22" ht="15.75" x14ac:dyDescent="0.25">
      <c r="A26" s="21" t="s">
        <v>310</v>
      </c>
      <c r="B26" s="21" t="s">
        <v>160</v>
      </c>
      <c r="C26" s="21" t="s">
        <v>111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5" t="s">
        <v>295</v>
      </c>
      <c r="S26" s="35" t="str">
        <f>UPPER("qstn_txt_vod__c")</f>
        <v>QSTN_TXT_VOD__C</v>
      </c>
      <c r="T26" s="40" t="s">
        <v>111</v>
      </c>
      <c r="U26" s="38" t="s">
        <v>302</v>
      </c>
      <c r="V26" s="38"/>
    </row>
    <row r="27" spans="1:22" ht="15.75" x14ac:dyDescent="0.25">
      <c r="A27" s="21" t="s">
        <v>310</v>
      </c>
      <c r="B27" s="21" t="s">
        <v>303</v>
      </c>
      <c r="C27" s="21" t="s">
        <v>58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5" t="s">
        <v>295</v>
      </c>
      <c r="S27" s="35" t="str">
        <f>UPPER("ord_vod__c")</f>
        <v>ORD_VOD__C</v>
      </c>
      <c r="T27" s="40" t="s">
        <v>304</v>
      </c>
      <c r="U27" s="38" t="s">
        <v>302</v>
      </c>
      <c r="V27" s="38"/>
    </row>
    <row r="28" spans="1:22" ht="15.75" x14ac:dyDescent="0.25">
      <c r="A28" s="21" t="s">
        <v>310</v>
      </c>
      <c r="B28" s="35" t="s">
        <v>43</v>
      </c>
      <c r="C28" s="35" t="s">
        <v>106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5" t="s">
        <v>295</v>
      </c>
      <c r="S28" s="35" t="s">
        <v>5</v>
      </c>
      <c r="T28" s="35" t="s">
        <v>5</v>
      </c>
      <c r="U28" s="4" t="s">
        <v>45</v>
      </c>
      <c r="V28" s="38"/>
    </row>
    <row r="29" spans="1:22" ht="15.75" x14ac:dyDescent="0.25">
      <c r="A29" s="21" t="s">
        <v>310</v>
      </c>
      <c r="B29" s="35" t="s">
        <v>47</v>
      </c>
      <c r="C29" s="35" t="s">
        <v>106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5" t="s">
        <v>295</v>
      </c>
      <c r="S29" s="35" t="s">
        <v>5</v>
      </c>
      <c r="T29" s="35" t="s">
        <v>5</v>
      </c>
      <c r="U29" s="43" t="s">
        <v>305</v>
      </c>
      <c r="V29" s="38"/>
    </row>
    <row r="30" spans="1:22" s="41" customFormat="1" ht="45" x14ac:dyDescent="0.25">
      <c r="A30" s="21" t="s">
        <v>310</v>
      </c>
      <c r="B30" s="21" t="s">
        <v>299</v>
      </c>
      <c r="C30" s="21" t="s">
        <v>257</v>
      </c>
      <c r="D30" s="21" t="s">
        <v>247</v>
      </c>
      <c r="E30" s="21" t="s">
        <v>57</v>
      </c>
      <c r="F30" s="21" t="s">
        <v>58</v>
      </c>
      <c r="G30" s="6" t="s">
        <v>312</v>
      </c>
      <c r="H30" s="6"/>
      <c r="I30" s="42"/>
      <c r="J30" s="42"/>
      <c r="K30" s="42"/>
      <c r="L30" s="42"/>
      <c r="M30" s="42"/>
      <c r="N30" s="42"/>
      <c r="O30" s="42"/>
      <c r="P30" s="42"/>
      <c r="Q30" s="42"/>
      <c r="R30" s="21" t="str">
        <f>UPPER("d_mkt_srvy_trgt")</f>
        <v>D_MKT_SRVY_TRGT</v>
      </c>
      <c r="S30" s="21" t="str">
        <f>UPPER("srvy_trgt_acct_type_txt")</f>
        <v>SRVY_TRGT_ACCT_TYPE_TXT</v>
      </c>
      <c r="T30" s="40" t="s">
        <v>111</v>
      </c>
      <c r="U30" s="6" t="s">
        <v>355</v>
      </c>
      <c r="V30" s="42"/>
    </row>
    <row r="31" spans="1:22" ht="31.5" x14ac:dyDescent="0.25">
      <c r="A31" s="21" t="s">
        <v>310</v>
      </c>
      <c r="B31" s="35" t="s">
        <v>258</v>
      </c>
      <c r="C31" s="35" t="s">
        <v>58</v>
      </c>
      <c r="D31" s="35" t="s">
        <v>306</v>
      </c>
      <c r="E31" s="35" t="s">
        <v>134</v>
      </c>
      <c r="F31" s="35" t="s">
        <v>135</v>
      </c>
      <c r="G31" s="35" t="s">
        <v>307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 t="s">
        <v>295</v>
      </c>
      <c r="S31" s="35" t="s">
        <v>134</v>
      </c>
      <c r="T31" s="35" t="s">
        <v>135</v>
      </c>
      <c r="U31" s="35" t="s">
        <v>356</v>
      </c>
      <c r="V31" s="38"/>
    </row>
    <row r="32" spans="1:22" ht="31.5" x14ac:dyDescent="0.25">
      <c r="A32" s="21" t="s">
        <v>310</v>
      </c>
      <c r="B32" s="35" t="s">
        <v>51</v>
      </c>
      <c r="C32" s="35" t="s">
        <v>58</v>
      </c>
      <c r="D32" s="35" t="s">
        <v>306</v>
      </c>
      <c r="E32" s="35" t="s">
        <v>51</v>
      </c>
      <c r="F32" s="35" t="s">
        <v>58</v>
      </c>
      <c r="G32" s="35" t="s">
        <v>308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 t="s">
        <v>295</v>
      </c>
      <c r="S32" s="35" t="s">
        <v>51</v>
      </c>
      <c r="T32" s="35" t="s">
        <v>58</v>
      </c>
      <c r="U32" s="21" t="s">
        <v>81</v>
      </c>
      <c r="V32" s="38"/>
    </row>
    <row r="33" spans="1:22" customFormat="1" ht="31.5" x14ac:dyDescent="0.25">
      <c r="A33" s="21" t="s">
        <v>310</v>
      </c>
      <c r="B33" s="21" t="s">
        <v>52</v>
      </c>
      <c r="C33" s="35" t="s">
        <v>58</v>
      </c>
      <c r="D33" s="35" t="s">
        <v>306</v>
      </c>
      <c r="E33" s="35" t="s">
        <v>309</v>
      </c>
      <c r="F33" s="35" t="s">
        <v>58</v>
      </c>
      <c r="G33" s="35" t="s">
        <v>308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 t="s">
        <v>295</v>
      </c>
      <c r="S33" s="35" t="s">
        <v>52</v>
      </c>
      <c r="T33" s="35" t="s">
        <v>58</v>
      </c>
      <c r="U33" s="21" t="s">
        <v>81</v>
      </c>
      <c r="V33" s="21"/>
    </row>
    <row r="34" spans="1:22" customFormat="1" ht="31.5" x14ac:dyDescent="0.25">
      <c r="A34" s="21" t="s">
        <v>310</v>
      </c>
      <c r="B34" s="35" t="s">
        <v>259</v>
      </c>
      <c r="C34" s="35" t="s">
        <v>103</v>
      </c>
      <c r="D34" s="35" t="s">
        <v>5</v>
      </c>
      <c r="E34" s="35" t="s">
        <v>5</v>
      </c>
      <c r="F34" s="35" t="s">
        <v>5</v>
      </c>
      <c r="G34" s="35" t="s">
        <v>308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21" t="s">
        <v>240</v>
      </c>
      <c r="S34" s="21" t="s">
        <v>240</v>
      </c>
      <c r="T34" s="21" t="s">
        <v>240</v>
      </c>
      <c r="U34" s="21" t="s">
        <v>45</v>
      </c>
      <c r="V34" s="21"/>
    </row>
    <row r="35" spans="1:22" customFormat="1" ht="31.5" x14ac:dyDescent="0.25">
      <c r="A35" s="21" t="s">
        <v>310</v>
      </c>
      <c r="B35" s="35" t="s">
        <v>260</v>
      </c>
      <c r="C35" s="35" t="s">
        <v>138</v>
      </c>
      <c r="D35" s="35" t="s">
        <v>5</v>
      </c>
      <c r="E35" s="35" t="s">
        <v>5</v>
      </c>
      <c r="F35" s="35" t="s">
        <v>5</v>
      </c>
      <c r="G35" s="35" t="s">
        <v>308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21" t="s">
        <v>240</v>
      </c>
      <c r="S35" s="21" t="s">
        <v>240</v>
      </c>
      <c r="T35" s="21" t="s">
        <v>240</v>
      </c>
      <c r="U35" s="21" t="s">
        <v>54</v>
      </c>
      <c r="V35" s="21"/>
    </row>
    <row r="36" spans="1:22" customFormat="1" ht="31.5" x14ac:dyDescent="0.25">
      <c r="A36" s="21" t="s">
        <v>310</v>
      </c>
      <c r="B36" s="35" t="s">
        <v>261</v>
      </c>
      <c r="C36" s="35" t="s">
        <v>103</v>
      </c>
      <c r="D36" s="35" t="s">
        <v>5</v>
      </c>
      <c r="E36" s="35" t="s">
        <v>5</v>
      </c>
      <c r="F36" s="35" t="s">
        <v>5</v>
      </c>
      <c r="G36" s="35" t="s">
        <v>308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21" t="s">
        <v>240</v>
      </c>
      <c r="S36" s="21" t="s">
        <v>240</v>
      </c>
      <c r="T36" s="21" t="s">
        <v>240</v>
      </c>
      <c r="U36" s="21" t="s">
        <v>45</v>
      </c>
      <c r="V36" s="21"/>
    </row>
    <row r="37" spans="1:22" customFormat="1" ht="31.5" x14ac:dyDescent="0.25">
      <c r="A37" s="21" t="s">
        <v>310</v>
      </c>
      <c r="B37" s="35" t="s">
        <v>262</v>
      </c>
      <c r="C37" s="35" t="s">
        <v>138</v>
      </c>
      <c r="D37" s="35" t="s">
        <v>5</v>
      </c>
      <c r="E37" s="35" t="s">
        <v>5</v>
      </c>
      <c r="F37" s="35" t="s">
        <v>5</v>
      </c>
      <c r="G37" s="35" t="s">
        <v>308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21" t="s">
        <v>240</v>
      </c>
      <c r="S37" s="21" t="s">
        <v>240</v>
      </c>
      <c r="T37" s="21" t="s">
        <v>240</v>
      </c>
      <c r="U37" s="21" t="s">
        <v>54</v>
      </c>
      <c r="V37" s="21"/>
    </row>
    <row r="38" spans="1:22" customFormat="1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</row>
  </sheetData>
  <mergeCells count="28">
    <mergeCell ref="A14:B14"/>
    <mergeCell ref="C14:V14"/>
    <mergeCell ref="A15:V15"/>
    <mergeCell ref="A11:B11"/>
    <mergeCell ref="C11:V11"/>
    <mergeCell ref="A12:B12"/>
    <mergeCell ref="C12:V12"/>
    <mergeCell ref="A13:B13"/>
    <mergeCell ref="C13:V13"/>
    <mergeCell ref="A8:B8"/>
    <mergeCell ref="C8:V8"/>
    <mergeCell ref="A9:B9"/>
    <mergeCell ref="C9:V9"/>
    <mergeCell ref="A10:B10"/>
    <mergeCell ref="C10:V10"/>
    <mergeCell ref="A5:B5"/>
    <mergeCell ref="C5:V5"/>
    <mergeCell ref="A6:B6"/>
    <mergeCell ref="C6:V6"/>
    <mergeCell ref="A7:B7"/>
    <mergeCell ref="C7:V7"/>
    <mergeCell ref="A4:B4"/>
    <mergeCell ref="C4:V4"/>
    <mergeCell ref="A1:V1"/>
    <mergeCell ref="A2:B2"/>
    <mergeCell ref="C2:V2"/>
    <mergeCell ref="A3:B3"/>
    <mergeCell ref="C3:V3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B6" workbookViewId="0">
      <selection activeCell="G29" sqref="G29"/>
    </sheetView>
  </sheetViews>
  <sheetFormatPr defaultRowHeight="15" x14ac:dyDescent="0.25"/>
  <cols>
    <col min="1" max="1" width="19.85546875" customWidth="1"/>
    <col min="2" max="2" width="28.85546875" bestFit="1" customWidth="1"/>
    <col min="3" max="3" width="14.7109375" customWidth="1"/>
    <col min="4" max="4" width="29.7109375" bestFit="1" customWidth="1"/>
    <col min="5" max="5" width="28.85546875" bestFit="1" customWidth="1"/>
    <col min="6" max="6" width="22.140625" bestFit="1" customWidth="1"/>
    <col min="7" max="8" width="141.7109375" bestFit="1" customWidth="1"/>
    <col min="9" max="9" width="19.7109375" customWidth="1"/>
  </cols>
  <sheetData>
    <row r="1" spans="1:10" x14ac:dyDescent="0.25">
      <c r="A1" s="92" t="s">
        <v>64</v>
      </c>
      <c r="B1" s="92"/>
      <c r="C1" s="92"/>
      <c r="D1" s="92"/>
      <c r="E1" s="92"/>
      <c r="F1" s="92"/>
      <c r="G1" s="92"/>
      <c r="H1" s="92"/>
      <c r="I1" s="92"/>
      <c r="J1" s="5"/>
    </row>
    <row r="2" spans="1:10" x14ac:dyDescent="0.25">
      <c r="A2" s="93" t="s">
        <v>0</v>
      </c>
      <c r="B2" s="93"/>
      <c r="C2" s="95" t="s">
        <v>139</v>
      </c>
      <c r="D2" s="95"/>
      <c r="E2" s="95"/>
      <c r="F2" s="95"/>
      <c r="G2" s="95"/>
      <c r="H2" s="95"/>
      <c r="I2" s="95"/>
      <c r="J2" s="5"/>
    </row>
    <row r="3" spans="1:10" x14ac:dyDescent="0.25">
      <c r="A3" s="93" t="s">
        <v>1</v>
      </c>
      <c r="B3" s="93"/>
      <c r="C3" s="95" t="s">
        <v>140</v>
      </c>
      <c r="D3" s="95"/>
      <c r="E3" s="95"/>
      <c r="F3" s="95"/>
      <c r="G3" s="95"/>
      <c r="H3" s="95"/>
      <c r="I3" s="95"/>
      <c r="J3" s="5"/>
    </row>
    <row r="4" spans="1:10" x14ac:dyDescent="0.25">
      <c r="A4" s="93" t="s">
        <v>2</v>
      </c>
      <c r="B4" s="93"/>
      <c r="C4" s="95" t="s">
        <v>3</v>
      </c>
      <c r="D4" s="95"/>
      <c r="E4" s="95"/>
      <c r="F4" s="95"/>
      <c r="G4" s="95"/>
      <c r="H4" s="95"/>
      <c r="I4" s="95"/>
      <c r="J4" s="5"/>
    </row>
    <row r="5" spans="1:10" x14ac:dyDescent="0.25">
      <c r="A5" s="93" t="s">
        <v>4</v>
      </c>
      <c r="B5" s="93"/>
      <c r="C5" s="95" t="s">
        <v>5</v>
      </c>
      <c r="D5" s="95"/>
      <c r="E5" s="95"/>
      <c r="F5" s="95"/>
      <c r="G5" s="95"/>
      <c r="H5" s="95"/>
      <c r="I5" s="95"/>
      <c r="J5" s="5"/>
    </row>
    <row r="6" spans="1:10" x14ac:dyDescent="0.25">
      <c r="A6" s="93" t="s">
        <v>6</v>
      </c>
      <c r="B6" s="93"/>
      <c r="C6" s="71" t="s">
        <v>7</v>
      </c>
      <c r="D6" s="72"/>
      <c r="E6" s="72"/>
      <c r="F6" s="72"/>
      <c r="G6" s="72"/>
      <c r="H6" s="72"/>
      <c r="I6" s="72"/>
      <c r="J6" s="73"/>
    </row>
    <row r="7" spans="1:10" x14ac:dyDescent="0.25">
      <c r="A7" s="93" t="s">
        <v>8</v>
      </c>
      <c r="B7" s="93"/>
      <c r="C7" s="91" t="s">
        <v>60</v>
      </c>
      <c r="D7" s="91"/>
      <c r="E7" s="91"/>
      <c r="F7" s="91"/>
      <c r="G7" s="91"/>
      <c r="H7" s="91"/>
      <c r="I7" s="91"/>
      <c r="J7" s="5"/>
    </row>
    <row r="8" spans="1:10" x14ac:dyDescent="0.25">
      <c r="A8" s="93" t="s">
        <v>9</v>
      </c>
      <c r="B8" s="93"/>
      <c r="C8" s="95" t="s">
        <v>5</v>
      </c>
      <c r="D8" s="95"/>
      <c r="E8" s="95"/>
      <c r="F8" s="95"/>
      <c r="G8" s="95"/>
      <c r="H8" s="95"/>
      <c r="I8" s="95"/>
      <c r="J8" s="5"/>
    </row>
    <row r="9" spans="1:10" x14ac:dyDescent="0.25">
      <c r="A9" s="93" t="s">
        <v>10</v>
      </c>
      <c r="B9" s="93"/>
      <c r="C9" s="68" t="s">
        <v>5</v>
      </c>
      <c r="D9" s="69"/>
      <c r="E9" s="69"/>
      <c r="F9" s="69"/>
      <c r="G9" s="69"/>
      <c r="H9" s="69"/>
      <c r="I9" s="70"/>
      <c r="J9" s="5"/>
    </row>
    <row r="10" spans="1:10" x14ac:dyDescent="0.25">
      <c r="A10" s="93" t="s">
        <v>11</v>
      </c>
      <c r="B10" s="93"/>
      <c r="C10" s="91" t="s">
        <v>65</v>
      </c>
      <c r="D10" s="91"/>
      <c r="E10" s="91"/>
      <c r="F10" s="91"/>
      <c r="G10" s="91"/>
      <c r="H10" s="91"/>
      <c r="I10" s="91"/>
      <c r="J10" s="5"/>
    </row>
    <row r="11" spans="1:10" x14ac:dyDescent="0.25">
      <c r="A11" s="93" t="s">
        <v>13</v>
      </c>
      <c r="B11" s="93"/>
      <c r="C11" s="91" t="s">
        <v>5</v>
      </c>
      <c r="D11" s="91"/>
      <c r="E11" s="91"/>
      <c r="F11" s="91"/>
      <c r="G11" s="91"/>
      <c r="H11" s="91"/>
      <c r="I11" s="91"/>
      <c r="J11" s="5"/>
    </row>
    <row r="12" spans="1:10" x14ac:dyDescent="0.25">
      <c r="A12" s="93" t="s">
        <v>14</v>
      </c>
      <c r="B12" s="93"/>
      <c r="C12" s="74" t="s">
        <v>66</v>
      </c>
      <c r="D12" s="72"/>
      <c r="E12" s="72"/>
      <c r="F12" s="72"/>
      <c r="G12" s="72"/>
      <c r="H12" s="72"/>
      <c r="I12" s="73"/>
      <c r="J12" s="5"/>
    </row>
    <row r="13" spans="1:10" x14ac:dyDescent="0.25">
      <c r="A13" s="94" t="s">
        <v>16</v>
      </c>
      <c r="B13" s="94"/>
      <c r="C13" s="91"/>
      <c r="D13" s="91"/>
      <c r="E13" s="91"/>
      <c r="F13" s="91"/>
      <c r="G13" s="91"/>
      <c r="H13" s="91"/>
      <c r="I13" s="91"/>
      <c r="J13" s="5"/>
    </row>
    <row r="14" spans="1:10" x14ac:dyDescent="0.25">
      <c r="A14" s="66" t="s">
        <v>17</v>
      </c>
      <c r="B14" s="67"/>
      <c r="C14" s="91" t="s">
        <v>5</v>
      </c>
      <c r="D14" s="91"/>
      <c r="E14" s="91"/>
      <c r="F14" s="91"/>
      <c r="G14" s="91"/>
      <c r="H14" s="91"/>
      <c r="I14" s="91"/>
      <c r="J14" s="5"/>
    </row>
    <row r="15" spans="1:10" x14ac:dyDescent="0.25">
      <c r="A15" s="92" t="s">
        <v>18</v>
      </c>
      <c r="B15" s="92"/>
      <c r="C15" s="92"/>
      <c r="D15" s="92"/>
      <c r="E15" s="92"/>
      <c r="F15" s="92"/>
      <c r="G15" s="92"/>
      <c r="H15" s="92"/>
      <c r="I15" s="92"/>
      <c r="J15" s="5"/>
    </row>
    <row r="16" spans="1:10" x14ac:dyDescent="0.25">
      <c r="A16" s="1" t="s">
        <v>19</v>
      </c>
      <c r="B16" s="1" t="s">
        <v>20</v>
      </c>
      <c r="C16" s="1" t="s">
        <v>21</v>
      </c>
      <c r="D16" s="2" t="s">
        <v>22</v>
      </c>
      <c r="E16" s="2" t="s">
        <v>23</v>
      </c>
      <c r="F16" s="2"/>
      <c r="G16" s="2" t="s">
        <v>24</v>
      </c>
      <c r="H16" s="3" t="s">
        <v>25</v>
      </c>
      <c r="I16" s="3" t="s">
        <v>26</v>
      </c>
      <c r="J16" s="5"/>
    </row>
    <row r="17" spans="1:9" x14ac:dyDescent="0.25">
      <c r="A17" s="21" t="s">
        <v>67</v>
      </c>
      <c r="B17" t="s">
        <v>273</v>
      </c>
      <c r="C17" s="21" t="s">
        <v>58</v>
      </c>
      <c r="D17" s="21" t="s">
        <v>5</v>
      </c>
      <c r="E17" s="21" t="s">
        <v>5</v>
      </c>
      <c r="F17" s="21" t="s">
        <v>5</v>
      </c>
      <c r="G17" s="21" t="s">
        <v>68</v>
      </c>
      <c r="H17" s="21"/>
      <c r="I17" s="8"/>
    </row>
    <row r="18" spans="1:9" ht="180" x14ac:dyDescent="0.25">
      <c r="A18" s="46" t="s">
        <v>67</v>
      </c>
      <c r="B18" s="46" t="s">
        <v>69</v>
      </c>
      <c r="C18" s="46" t="s">
        <v>58</v>
      </c>
      <c r="D18" s="46" t="s">
        <v>314</v>
      </c>
      <c r="E18" s="46" t="s">
        <v>69</v>
      </c>
      <c r="F18" s="46" t="s">
        <v>58</v>
      </c>
      <c r="G18" s="6" t="s">
        <v>371</v>
      </c>
      <c r="H18" s="21"/>
      <c r="I18" s="8"/>
    </row>
    <row r="19" spans="1:9" ht="165" x14ac:dyDescent="0.25">
      <c r="A19" s="46" t="s">
        <v>67</v>
      </c>
      <c r="B19" s="47" t="s">
        <v>274</v>
      </c>
      <c r="C19" s="46" t="s">
        <v>58</v>
      </c>
      <c r="D19" s="46" t="s">
        <v>275</v>
      </c>
      <c r="E19" s="46" t="s">
        <v>274</v>
      </c>
      <c r="F19" s="46" t="s">
        <v>58</v>
      </c>
      <c r="G19" s="6" t="s">
        <v>372</v>
      </c>
      <c r="H19" s="21"/>
      <c r="I19" s="8"/>
    </row>
    <row r="20" spans="1:9" ht="120" x14ac:dyDescent="0.25">
      <c r="A20" s="21" t="s">
        <v>67</v>
      </c>
      <c r="B20" t="s">
        <v>267</v>
      </c>
      <c r="C20" s="21" t="s">
        <v>58</v>
      </c>
      <c r="D20" s="21" t="s">
        <v>27</v>
      </c>
      <c r="E20" s="21" t="s">
        <v>28</v>
      </c>
      <c r="F20" s="46" t="s">
        <v>58</v>
      </c>
      <c r="G20" s="6" t="s">
        <v>373</v>
      </c>
      <c r="H20" s="21"/>
      <c r="I20" s="8"/>
    </row>
    <row r="21" spans="1:9" ht="105" x14ac:dyDescent="0.25">
      <c r="A21" s="21" t="s">
        <v>67</v>
      </c>
      <c r="B21" s="21" t="s">
        <v>70</v>
      </c>
      <c r="C21" s="21" t="s">
        <v>58</v>
      </c>
      <c r="D21" s="21" t="s">
        <v>251</v>
      </c>
      <c r="E21" s="21" t="s">
        <v>70</v>
      </c>
      <c r="F21" s="46" t="s">
        <v>58</v>
      </c>
      <c r="G21" s="6" t="s">
        <v>374</v>
      </c>
      <c r="H21" s="21"/>
      <c r="I21" s="8"/>
    </row>
    <row r="22" spans="1:9" ht="90" x14ac:dyDescent="0.25">
      <c r="A22" s="21" t="s">
        <v>67</v>
      </c>
      <c r="B22" s="21" t="s">
        <v>71</v>
      </c>
      <c r="C22" s="21" t="s">
        <v>58</v>
      </c>
      <c r="D22" s="21" t="s">
        <v>251</v>
      </c>
      <c r="E22" s="21" t="s">
        <v>70</v>
      </c>
      <c r="F22" s="46" t="s">
        <v>58</v>
      </c>
      <c r="G22" s="6" t="s">
        <v>375</v>
      </c>
      <c r="H22" s="21"/>
      <c r="I22" s="8"/>
    </row>
    <row r="23" spans="1:9" ht="210" x14ac:dyDescent="0.25">
      <c r="A23" s="21" t="s">
        <v>67</v>
      </c>
      <c r="B23" s="21" t="s">
        <v>72</v>
      </c>
      <c r="C23" s="21" t="s">
        <v>58</v>
      </c>
      <c r="D23" s="21" t="s">
        <v>250</v>
      </c>
      <c r="E23" s="21" t="s">
        <v>72</v>
      </c>
      <c r="F23" s="46" t="s">
        <v>58</v>
      </c>
      <c r="G23" s="6" t="s">
        <v>376</v>
      </c>
      <c r="I23" s="8"/>
    </row>
    <row r="24" spans="1:9" ht="165" x14ac:dyDescent="0.25">
      <c r="A24" s="46" t="s">
        <v>67</v>
      </c>
      <c r="B24" s="46" t="s">
        <v>74</v>
      </c>
      <c r="C24" s="46" t="s">
        <v>58</v>
      </c>
      <c r="D24" s="21" t="s">
        <v>250</v>
      </c>
      <c r="E24" s="21" t="s">
        <v>72</v>
      </c>
      <c r="F24" s="46" t="s">
        <v>58</v>
      </c>
      <c r="G24" s="6" t="s">
        <v>377</v>
      </c>
      <c r="H24" s="21"/>
      <c r="I24" s="8"/>
    </row>
    <row r="25" spans="1:9" ht="150" x14ac:dyDescent="0.25">
      <c r="A25" s="21" t="s">
        <v>67</v>
      </c>
      <c r="B25" s="21" t="s">
        <v>73</v>
      </c>
      <c r="C25" s="21" t="s">
        <v>58</v>
      </c>
      <c r="D25" s="21" t="s">
        <v>250</v>
      </c>
      <c r="E25" s="21" t="s">
        <v>72</v>
      </c>
      <c r="F25" s="46" t="s">
        <v>58</v>
      </c>
      <c r="G25" s="6" t="s">
        <v>378</v>
      </c>
      <c r="I25" s="8"/>
    </row>
    <row r="26" spans="1:9" ht="90" x14ac:dyDescent="0.25">
      <c r="A26" s="21" t="s">
        <v>67</v>
      </c>
      <c r="B26" s="21" t="s">
        <v>75</v>
      </c>
      <c r="C26" s="21" t="s">
        <v>58</v>
      </c>
      <c r="D26" s="21" t="s">
        <v>252</v>
      </c>
      <c r="E26" s="21" t="s">
        <v>75</v>
      </c>
      <c r="F26" s="21"/>
      <c r="G26" s="6" t="s">
        <v>379</v>
      </c>
      <c r="H26" s="21"/>
      <c r="I26" s="5"/>
    </row>
    <row r="27" spans="1:9" x14ac:dyDescent="0.25">
      <c r="A27" s="21" t="s">
        <v>67</v>
      </c>
      <c r="B27" s="21" t="s">
        <v>77</v>
      </c>
      <c r="C27" s="21" t="s">
        <v>78</v>
      </c>
      <c r="D27" s="21"/>
      <c r="E27" s="21"/>
      <c r="F27" s="21"/>
      <c r="G27" s="51" t="s">
        <v>357</v>
      </c>
      <c r="H27" s="21" t="s">
        <v>79</v>
      </c>
      <c r="I27" s="9"/>
    </row>
    <row r="28" spans="1:9" ht="90" x14ac:dyDescent="0.25">
      <c r="A28" s="21" t="s">
        <v>67</v>
      </c>
      <c r="B28" s="21" t="s">
        <v>57</v>
      </c>
      <c r="C28" s="21" t="s">
        <v>58</v>
      </c>
      <c r="D28" s="21" t="s">
        <v>247</v>
      </c>
      <c r="E28" s="21" t="s">
        <v>57</v>
      </c>
      <c r="F28" s="21" t="s">
        <v>5</v>
      </c>
      <c r="G28" s="6" t="s">
        <v>380</v>
      </c>
      <c r="H28" s="21" t="s">
        <v>59</v>
      </c>
      <c r="I28" s="8"/>
    </row>
    <row r="29" spans="1:9" x14ac:dyDescent="0.25">
      <c r="A29" s="21" t="s">
        <v>67</v>
      </c>
      <c r="B29" s="21" t="s">
        <v>143</v>
      </c>
      <c r="C29" s="21" t="s">
        <v>125</v>
      </c>
      <c r="D29" s="21" t="s">
        <v>246</v>
      </c>
      <c r="E29" s="21" t="s">
        <v>315</v>
      </c>
      <c r="F29" s="21" t="s">
        <v>125</v>
      </c>
      <c r="G29" s="21" t="s">
        <v>81</v>
      </c>
      <c r="H29" s="21"/>
      <c r="I29" s="8"/>
    </row>
    <row r="30" spans="1:9" x14ac:dyDescent="0.25">
      <c r="A30" s="21" t="s">
        <v>67</v>
      </c>
      <c r="B30" s="21" t="s">
        <v>84</v>
      </c>
      <c r="C30" s="21" t="s">
        <v>125</v>
      </c>
      <c r="D30" s="21" t="s">
        <v>246</v>
      </c>
      <c r="E30" s="21" t="s">
        <v>85</v>
      </c>
      <c r="F30" s="21" t="s">
        <v>125</v>
      </c>
      <c r="G30" s="21" t="s">
        <v>81</v>
      </c>
      <c r="H30" s="21"/>
      <c r="I30" s="8"/>
    </row>
    <row r="31" spans="1:9" x14ac:dyDescent="0.25">
      <c r="A31" s="21" t="s">
        <v>67</v>
      </c>
      <c r="B31" s="21" t="s">
        <v>82</v>
      </c>
      <c r="C31" s="21" t="s">
        <v>125</v>
      </c>
      <c r="D31" s="21" t="s">
        <v>246</v>
      </c>
      <c r="E31" s="21" t="s">
        <v>83</v>
      </c>
      <c r="F31" s="21" t="s">
        <v>125</v>
      </c>
      <c r="G31" s="21" t="s">
        <v>81</v>
      </c>
      <c r="H31" s="21"/>
      <c r="I31" s="8"/>
    </row>
    <row r="32" spans="1:9" x14ac:dyDescent="0.25">
      <c r="A32" s="21" t="s">
        <v>67</v>
      </c>
      <c r="B32" s="21" t="s">
        <v>86</v>
      </c>
      <c r="C32" s="21" t="s">
        <v>125</v>
      </c>
      <c r="D32" s="21" t="s">
        <v>246</v>
      </c>
      <c r="E32" s="21" t="s">
        <v>87</v>
      </c>
      <c r="F32" s="21" t="s">
        <v>125</v>
      </c>
      <c r="G32" s="21" t="s">
        <v>81</v>
      </c>
      <c r="H32" s="21"/>
      <c r="I32" s="8"/>
    </row>
    <row r="33" spans="1:9" x14ac:dyDescent="0.25">
      <c r="A33" s="21" t="s">
        <v>67</v>
      </c>
      <c r="B33" s="21" t="s">
        <v>92</v>
      </c>
      <c r="C33" s="21" t="s">
        <v>125</v>
      </c>
      <c r="D33" s="21" t="s">
        <v>246</v>
      </c>
      <c r="E33" s="21" t="s">
        <v>93</v>
      </c>
      <c r="F33" s="21" t="s">
        <v>125</v>
      </c>
      <c r="G33" s="21" t="s">
        <v>81</v>
      </c>
      <c r="H33" s="21"/>
      <c r="I33" s="8"/>
    </row>
    <row r="34" spans="1:9" x14ac:dyDescent="0.25">
      <c r="A34" s="21" t="s">
        <v>67</v>
      </c>
      <c r="B34" s="21" t="s">
        <v>272</v>
      </c>
      <c r="C34" s="21" t="s">
        <v>125</v>
      </c>
      <c r="D34" s="21" t="s">
        <v>246</v>
      </c>
      <c r="E34" s="21" t="s">
        <v>94</v>
      </c>
      <c r="F34" s="21" t="s">
        <v>125</v>
      </c>
      <c r="G34" s="21" t="s">
        <v>81</v>
      </c>
      <c r="H34" s="21"/>
      <c r="I34" s="8"/>
    </row>
    <row r="35" spans="1:9" x14ac:dyDescent="0.25">
      <c r="A35" s="21" t="s">
        <v>67</v>
      </c>
      <c r="B35" s="21" t="s">
        <v>88</v>
      </c>
      <c r="C35" s="21" t="s">
        <v>125</v>
      </c>
      <c r="D35" s="21" t="s">
        <v>246</v>
      </c>
      <c r="E35" s="21" t="s">
        <v>89</v>
      </c>
      <c r="F35" s="21" t="s">
        <v>125</v>
      </c>
      <c r="G35" s="21" t="s">
        <v>81</v>
      </c>
      <c r="H35" s="21"/>
      <c r="I35" s="8"/>
    </row>
    <row r="36" spans="1:9" x14ac:dyDescent="0.25">
      <c r="A36" s="21" t="s">
        <v>67</v>
      </c>
      <c r="B36" s="21" t="s">
        <v>90</v>
      </c>
      <c r="C36" s="21" t="s">
        <v>125</v>
      </c>
      <c r="D36" s="21" t="s">
        <v>246</v>
      </c>
      <c r="E36" s="21" t="s">
        <v>91</v>
      </c>
      <c r="F36" s="21" t="s">
        <v>125</v>
      </c>
      <c r="G36" s="21" t="s">
        <v>81</v>
      </c>
      <c r="H36" s="21"/>
      <c r="I36" s="8"/>
    </row>
    <row r="37" spans="1:9" x14ac:dyDescent="0.25">
      <c r="A37" s="21" t="s">
        <v>67</v>
      </c>
      <c r="B37" t="s">
        <v>276</v>
      </c>
      <c r="C37" t="s">
        <v>99</v>
      </c>
      <c r="D37" s="21" t="s">
        <v>246</v>
      </c>
      <c r="E37" s="21" t="s">
        <v>316</v>
      </c>
      <c r="F37" s="21"/>
      <c r="G37" s="21" t="s">
        <v>81</v>
      </c>
      <c r="H37" s="21"/>
      <c r="I37" s="8"/>
    </row>
    <row r="38" spans="1:9" x14ac:dyDescent="0.25">
      <c r="A38" s="21" t="s">
        <v>67</v>
      </c>
      <c r="B38" s="21" t="s">
        <v>95</v>
      </c>
      <c r="C38" s="21" t="s">
        <v>125</v>
      </c>
      <c r="D38" s="21" t="s">
        <v>246</v>
      </c>
      <c r="E38" s="21" t="s">
        <v>96</v>
      </c>
      <c r="F38" s="21" t="s">
        <v>125</v>
      </c>
      <c r="G38" s="21" t="s">
        <v>81</v>
      </c>
      <c r="H38" s="21"/>
      <c r="I38" s="8"/>
    </row>
    <row r="39" spans="1:9" x14ac:dyDescent="0.25">
      <c r="A39" s="21" t="s">
        <v>67</v>
      </c>
      <c r="B39" s="21" t="s">
        <v>97</v>
      </c>
      <c r="C39" s="21" t="s">
        <v>125</v>
      </c>
      <c r="D39" s="21" t="s">
        <v>246</v>
      </c>
      <c r="E39" s="21" t="s">
        <v>317</v>
      </c>
      <c r="F39" s="21" t="s">
        <v>125</v>
      </c>
      <c r="G39" s="21" t="s">
        <v>81</v>
      </c>
      <c r="H39" s="21"/>
      <c r="I39" s="8"/>
    </row>
    <row r="40" spans="1:9" ht="16.149999999999999" customHeight="1" x14ac:dyDescent="0.25">
      <c r="A40" s="21" t="s">
        <v>67</v>
      </c>
      <c r="B40" s="21" t="s">
        <v>80</v>
      </c>
      <c r="C40" s="21" t="s">
        <v>125</v>
      </c>
      <c r="D40" s="21" t="s">
        <v>246</v>
      </c>
      <c r="E40" s="21" t="s">
        <v>34</v>
      </c>
      <c r="F40" s="21" t="s">
        <v>125</v>
      </c>
      <c r="G40" s="21" t="s">
        <v>81</v>
      </c>
      <c r="H40" s="21"/>
      <c r="I40" s="5"/>
    </row>
    <row r="41" spans="1:9" x14ac:dyDescent="0.25">
      <c r="A41" s="21" t="s">
        <v>67</v>
      </c>
      <c r="B41" s="21" t="s">
        <v>76</v>
      </c>
      <c r="C41" s="21" t="s">
        <v>99</v>
      </c>
      <c r="D41" s="21" t="s">
        <v>246</v>
      </c>
      <c r="E41" s="21" t="s">
        <v>318</v>
      </c>
      <c r="F41" s="21" t="s">
        <v>38</v>
      </c>
      <c r="G41" s="21" t="s">
        <v>81</v>
      </c>
      <c r="H41" s="21"/>
      <c r="I41" s="8"/>
    </row>
    <row r="42" spans="1:9" x14ac:dyDescent="0.25">
      <c r="A42" s="21" t="s">
        <v>67</v>
      </c>
      <c r="B42" s="21" t="s">
        <v>124</v>
      </c>
      <c r="C42" s="21" t="s">
        <v>125</v>
      </c>
      <c r="D42" s="21" t="s">
        <v>5</v>
      </c>
      <c r="E42" s="21" t="s">
        <v>126</v>
      </c>
      <c r="F42" s="21" t="s">
        <v>5</v>
      </c>
      <c r="G42" s="21" t="s">
        <v>40</v>
      </c>
      <c r="H42" s="21"/>
      <c r="I42" s="8"/>
    </row>
    <row r="43" spans="1:9" x14ac:dyDescent="0.25">
      <c r="A43" s="21" t="s">
        <v>67</v>
      </c>
      <c r="B43" s="21" t="s">
        <v>114</v>
      </c>
      <c r="C43" s="21" t="s">
        <v>99</v>
      </c>
      <c r="D43" s="21" t="s">
        <v>246</v>
      </c>
      <c r="E43" s="21" t="s">
        <v>37</v>
      </c>
      <c r="F43" s="21" t="s">
        <v>38</v>
      </c>
      <c r="G43" s="21" t="s">
        <v>81</v>
      </c>
      <c r="H43" s="21"/>
      <c r="I43" s="8"/>
    </row>
    <row r="44" spans="1:9" x14ac:dyDescent="0.25">
      <c r="A44" s="21" t="s">
        <v>67</v>
      </c>
      <c r="B44" s="21" t="s">
        <v>100</v>
      </c>
      <c r="C44" s="21" t="s">
        <v>99</v>
      </c>
      <c r="D44" s="21" t="s">
        <v>246</v>
      </c>
      <c r="E44" s="21" t="s">
        <v>101</v>
      </c>
      <c r="F44" s="21" t="s">
        <v>38</v>
      </c>
      <c r="G44" s="21" t="s">
        <v>81</v>
      </c>
      <c r="H44" s="21"/>
      <c r="I44" s="8"/>
    </row>
    <row r="45" spans="1:9" x14ac:dyDescent="0.25">
      <c r="A45" s="21" t="s">
        <v>67</v>
      </c>
      <c r="B45" s="21" t="s">
        <v>122</v>
      </c>
      <c r="C45" s="21" t="s">
        <v>99</v>
      </c>
      <c r="D45" s="21" t="s">
        <v>246</v>
      </c>
      <c r="E45" s="21" t="s">
        <v>123</v>
      </c>
      <c r="F45" s="21" t="s">
        <v>38</v>
      </c>
      <c r="G45" s="21" t="s">
        <v>81</v>
      </c>
      <c r="H45" s="21"/>
      <c r="I45" s="8"/>
    </row>
    <row r="46" spans="1:9" x14ac:dyDescent="0.25">
      <c r="A46" s="21" t="s">
        <v>67</v>
      </c>
      <c r="B46" s="21" t="s">
        <v>110</v>
      </c>
      <c r="C46" s="21" t="s">
        <v>111</v>
      </c>
      <c r="D46" s="21" t="s">
        <v>246</v>
      </c>
      <c r="E46" s="21" t="s">
        <v>194</v>
      </c>
      <c r="F46" s="21" t="s">
        <v>112</v>
      </c>
      <c r="G46" s="21" t="s">
        <v>81</v>
      </c>
      <c r="H46" s="21"/>
      <c r="I46" s="8"/>
    </row>
    <row r="47" spans="1:9" x14ac:dyDescent="0.25">
      <c r="A47" s="21" t="s">
        <v>67</v>
      </c>
      <c r="B47" s="21" t="s">
        <v>115</v>
      </c>
      <c r="C47" s="21" t="s">
        <v>111</v>
      </c>
      <c r="D47" s="21" t="s">
        <v>246</v>
      </c>
      <c r="E47" s="21" t="s">
        <v>201</v>
      </c>
      <c r="F47" s="21" t="s">
        <v>112</v>
      </c>
      <c r="G47" s="21" t="s">
        <v>81</v>
      </c>
      <c r="H47" s="21"/>
      <c r="I47" s="8"/>
    </row>
    <row r="48" spans="1:9" x14ac:dyDescent="0.25">
      <c r="A48" s="21" t="s">
        <v>67</v>
      </c>
      <c r="B48" s="21" t="s">
        <v>120</v>
      </c>
      <c r="C48" s="21" t="s">
        <v>111</v>
      </c>
      <c r="D48" s="21" t="s">
        <v>246</v>
      </c>
      <c r="E48" s="21" t="s">
        <v>121</v>
      </c>
      <c r="F48" s="21" t="s">
        <v>112</v>
      </c>
      <c r="G48" s="21" t="s">
        <v>81</v>
      </c>
      <c r="H48" s="21"/>
      <c r="I48" s="8"/>
    </row>
    <row r="49" spans="1:9" x14ac:dyDescent="0.25">
      <c r="A49" s="21" t="s">
        <v>67</v>
      </c>
      <c r="B49" s="21" t="s">
        <v>118</v>
      </c>
      <c r="C49" s="21" t="s">
        <v>99</v>
      </c>
      <c r="D49" s="21" t="s">
        <v>246</v>
      </c>
      <c r="E49" s="21" t="s">
        <v>119</v>
      </c>
      <c r="F49" s="21" t="s">
        <v>38</v>
      </c>
      <c r="G49" s="21" t="s">
        <v>81</v>
      </c>
      <c r="H49" s="21"/>
      <c r="I49" s="8"/>
    </row>
    <row r="50" spans="1:9" x14ac:dyDescent="0.25">
      <c r="A50" s="21" t="s">
        <v>67</v>
      </c>
      <c r="B50" s="21" t="s">
        <v>127</v>
      </c>
      <c r="C50" s="21" t="s">
        <v>99</v>
      </c>
      <c r="D50" s="21" t="s">
        <v>5</v>
      </c>
      <c r="E50" s="21" t="s">
        <v>126</v>
      </c>
      <c r="F50" s="21" t="s">
        <v>5</v>
      </c>
      <c r="G50" s="21" t="s">
        <v>40</v>
      </c>
      <c r="H50" s="21"/>
      <c r="I50" s="8"/>
    </row>
    <row r="51" spans="1:9" x14ac:dyDescent="0.25">
      <c r="A51" s="21" t="s">
        <v>67</v>
      </c>
      <c r="B51" s="21" t="s">
        <v>284</v>
      </c>
      <c r="C51" s="21" t="s">
        <v>58</v>
      </c>
      <c r="D51" s="21" t="s">
        <v>246</v>
      </c>
      <c r="E51" s="21" t="s">
        <v>116</v>
      </c>
      <c r="F51" s="21" t="s">
        <v>117</v>
      </c>
      <c r="G51" s="21" t="s">
        <v>81</v>
      </c>
      <c r="H51" s="21"/>
      <c r="I51" s="8"/>
    </row>
    <row r="52" spans="1:9" x14ac:dyDescent="0.25">
      <c r="A52" s="21" t="s">
        <v>67</v>
      </c>
      <c r="B52" s="21" t="s">
        <v>105</v>
      </c>
      <c r="C52" s="21" t="s">
        <v>106</v>
      </c>
      <c r="D52" s="21" t="s">
        <v>246</v>
      </c>
      <c r="E52" s="21" t="s">
        <v>107</v>
      </c>
      <c r="F52" s="21" t="s">
        <v>104</v>
      </c>
      <c r="G52" s="21" t="s">
        <v>81</v>
      </c>
      <c r="H52" s="21"/>
      <c r="I52" s="8"/>
    </row>
    <row r="53" spans="1:9" x14ac:dyDescent="0.25">
      <c r="A53" s="21" t="s">
        <v>67</v>
      </c>
      <c r="B53" s="21" t="s">
        <v>102</v>
      </c>
      <c r="C53" s="21" t="s">
        <v>103</v>
      </c>
      <c r="D53" s="21" t="s">
        <v>246</v>
      </c>
      <c r="E53" s="21" t="s">
        <v>319</v>
      </c>
      <c r="F53" s="21" t="s">
        <v>104</v>
      </c>
      <c r="G53" s="21" t="s">
        <v>81</v>
      </c>
      <c r="H53" s="21"/>
      <c r="I53" s="8"/>
    </row>
    <row r="54" spans="1:9" x14ac:dyDescent="0.25">
      <c r="A54" s="21" t="s">
        <v>67</v>
      </c>
      <c r="B54" s="21" t="s">
        <v>109</v>
      </c>
      <c r="C54" s="21" t="s">
        <v>103</v>
      </c>
      <c r="D54" s="21" t="s">
        <v>246</v>
      </c>
      <c r="E54" s="21" t="s">
        <v>320</v>
      </c>
      <c r="F54" s="21" t="s">
        <v>104</v>
      </c>
      <c r="G54" s="21" t="s">
        <v>81</v>
      </c>
      <c r="H54" s="21"/>
      <c r="I54" s="8"/>
    </row>
    <row r="55" spans="1:9" x14ac:dyDescent="0.25">
      <c r="A55" s="21" t="s">
        <v>67</v>
      </c>
      <c r="B55" s="21" t="s">
        <v>108</v>
      </c>
      <c r="C55" s="21" t="s">
        <v>103</v>
      </c>
      <c r="D55" s="21" t="s">
        <v>246</v>
      </c>
      <c r="E55" s="21" t="s">
        <v>321</v>
      </c>
      <c r="F55" s="21" t="s">
        <v>104</v>
      </c>
      <c r="G55" s="21" t="s">
        <v>81</v>
      </c>
      <c r="H55" s="21"/>
      <c r="I55" s="8"/>
    </row>
    <row r="56" spans="1:9" x14ac:dyDescent="0.25">
      <c r="A56" s="21" t="s">
        <v>67</v>
      </c>
      <c r="B56" s="21" t="s">
        <v>128</v>
      </c>
      <c r="C56" s="21" t="s">
        <v>103</v>
      </c>
      <c r="D56" s="21" t="s">
        <v>5</v>
      </c>
      <c r="E56" s="21" t="s">
        <v>126</v>
      </c>
      <c r="F56" s="21" t="s">
        <v>5</v>
      </c>
      <c r="G56" s="21" t="s">
        <v>40</v>
      </c>
      <c r="H56" s="21"/>
      <c r="I56" s="8"/>
    </row>
    <row r="57" spans="1:9" x14ac:dyDescent="0.25">
      <c r="A57" s="21" t="s">
        <v>67</v>
      </c>
      <c r="B57" t="s">
        <v>277</v>
      </c>
      <c r="C57" t="s">
        <v>125</v>
      </c>
      <c r="D57" s="21" t="s">
        <v>246</v>
      </c>
      <c r="E57" s="21" t="s">
        <v>322</v>
      </c>
      <c r="F57" s="21" t="s">
        <v>125</v>
      </c>
      <c r="G57" s="21" t="s">
        <v>81</v>
      </c>
      <c r="H57" s="21"/>
      <c r="I57" s="8"/>
    </row>
    <row r="58" spans="1:9" x14ac:dyDescent="0.25">
      <c r="A58" s="21" t="s">
        <v>67</v>
      </c>
      <c r="B58" s="21" t="s">
        <v>98</v>
      </c>
      <c r="C58" s="21" t="s">
        <v>99</v>
      </c>
      <c r="D58" s="21" t="s">
        <v>246</v>
      </c>
      <c r="E58" s="21" t="s">
        <v>323</v>
      </c>
      <c r="F58" s="21" t="s">
        <v>38</v>
      </c>
      <c r="G58" s="21" t="s">
        <v>81</v>
      </c>
      <c r="H58" s="21"/>
      <c r="I58" s="8"/>
    </row>
    <row r="59" spans="1:9" x14ac:dyDescent="0.25">
      <c r="A59" s="21" t="s">
        <v>67</v>
      </c>
      <c r="B59" s="21" t="s">
        <v>129</v>
      </c>
      <c r="C59" s="21" t="s">
        <v>99</v>
      </c>
      <c r="D59" s="21" t="s">
        <v>246</v>
      </c>
      <c r="E59" s="21" t="s">
        <v>130</v>
      </c>
      <c r="F59" s="21" t="s">
        <v>38</v>
      </c>
      <c r="G59" s="21" t="s">
        <v>81</v>
      </c>
      <c r="H59" s="21"/>
      <c r="I59" s="8"/>
    </row>
    <row r="60" spans="1:9" x14ac:dyDescent="0.25">
      <c r="A60" s="21" t="s">
        <v>67</v>
      </c>
      <c r="B60" t="s">
        <v>278</v>
      </c>
      <c r="C60" t="s">
        <v>99</v>
      </c>
      <c r="D60" s="21" t="s">
        <v>246</v>
      </c>
      <c r="E60" s="21" t="s">
        <v>324</v>
      </c>
      <c r="F60" s="21" t="s">
        <v>99</v>
      </c>
      <c r="G60" s="21" t="s">
        <v>81</v>
      </c>
      <c r="H60" s="21"/>
      <c r="I60" s="8"/>
    </row>
    <row r="61" spans="1:9" x14ac:dyDescent="0.25">
      <c r="A61" s="21" t="s">
        <v>67</v>
      </c>
      <c r="B61" t="s">
        <v>144</v>
      </c>
      <c r="C61" t="s">
        <v>99</v>
      </c>
      <c r="D61" s="21" t="s">
        <v>246</v>
      </c>
      <c r="E61" s="21" t="s">
        <v>332</v>
      </c>
      <c r="F61" s="21" t="s">
        <v>99</v>
      </c>
      <c r="G61" s="21" t="s">
        <v>81</v>
      </c>
      <c r="H61" s="21"/>
      <c r="I61" s="8"/>
    </row>
    <row r="62" spans="1:9" x14ac:dyDescent="0.25">
      <c r="A62" s="21" t="s">
        <v>67</v>
      </c>
      <c r="B62" t="s">
        <v>268</v>
      </c>
      <c r="C62" t="s">
        <v>99</v>
      </c>
      <c r="D62" s="21" t="s">
        <v>246</v>
      </c>
      <c r="E62" s="21" t="s">
        <v>333</v>
      </c>
      <c r="F62" s="21" t="s">
        <v>63</v>
      </c>
      <c r="G62" s="21" t="s">
        <v>81</v>
      </c>
      <c r="H62" s="21"/>
      <c r="I62" s="8"/>
    </row>
    <row r="63" spans="1:9" x14ac:dyDescent="0.25">
      <c r="A63" s="21" t="s">
        <v>67</v>
      </c>
      <c r="B63" s="21" t="s">
        <v>62</v>
      </c>
      <c r="C63" s="21" t="s">
        <v>63</v>
      </c>
      <c r="D63" s="21" t="s">
        <v>246</v>
      </c>
      <c r="E63" s="21" t="s">
        <v>325</v>
      </c>
      <c r="F63" s="21" t="s">
        <v>63</v>
      </c>
      <c r="G63" s="21" t="s">
        <v>81</v>
      </c>
      <c r="H63" s="21"/>
      <c r="I63" s="8"/>
    </row>
    <row r="64" spans="1:9" x14ac:dyDescent="0.25">
      <c r="A64" s="21" t="s">
        <v>67</v>
      </c>
      <c r="B64" t="s">
        <v>131</v>
      </c>
      <c r="C64" t="s">
        <v>99</v>
      </c>
      <c r="D64" s="21" t="s">
        <v>246</v>
      </c>
      <c r="E64" s="21" t="s">
        <v>326</v>
      </c>
      <c r="F64" s="21" t="s">
        <v>38</v>
      </c>
      <c r="G64" s="21" t="s">
        <v>81</v>
      </c>
      <c r="H64" s="21"/>
      <c r="I64" s="8"/>
    </row>
    <row r="65" spans="1:9" x14ac:dyDescent="0.25">
      <c r="A65" s="21" t="s">
        <v>67</v>
      </c>
      <c r="B65" t="s">
        <v>279</v>
      </c>
      <c r="C65" t="s">
        <v>99</v>
      </c>
      <c r="D65" s="21" t="s">
        <v>246</v>
      </c>
      <c r="E65" s="21" t="s">
        <v>327</v>
      </c>
      <c r="F65" s="21" t="s">
        <v>145</v>
      </c>
      <c r="G65" s="21" t="s">
        <v>81</v>
      </c>
      <c r="H65" s="21"/>
      <c r="I65" s="8"/>
    </row>
    <row r="66" spans="1:9" x14ac:dyDescent="0.25">
      <c r="A66" s="21" t="s">
        <v>67</v>
      </c>
      <c r="B66" t="s">
        <v>269</v>
      </c>
      <c r="C66" t="s">
        <v>106</v>
      </c>
      <c r="D66" s="21" t="s">
        <v>246</v>
      </c>
      <c r="E66" s="21" t="s">
        <v>328</v>
      </c>
      <c r="F66" s="21" t="s">
        <v>44</v>
      </c>
      <c r="G66" s="21" t="s">
        <v>33</v>
      </c>
      <c r="H66" s="21"/>
      <c r="I66" s="8"/>
    </row>
    <row r="67" spans="1:9" x14ac:dyDescent="0.25">
      <c r="A67" s="21" t="s">
        <v>67</v>
      </c>
      <c r="B67" t="s">
        <v>270</v>
      </c>
      <c r="C67" t="s">
        <v>106</v>
      </c>
      <c r="D67" s="21" t="s">
        <v>246</v>
      </c>
      <c r="E67" s="21" t="s">
        <v>329</v>
      </c>
      <c r="F67" s="21" t="s">
        <v>44</v>
      </c>
      <c r="G67" s="21" t="s">
        <v>33</v>
      </c>
      <c r="H67" s="21"/>
      <c r="I67" s="8"/>
    </row>
    <row r="68" spans="1:9" x14ac:dyDescent="0.25">
      <c r="A68" s="21" t="s">
        <v>67</v>
      </c>
      <c r="B68" s="21" t="s">
        <v>146</v>
      </c>
      <c r="C68" s="21" t="s">
        <v>44</v>
      </c>
      <c r="D68" s="21" t="s">
        <v>246</v>
      </c>
      <c r="E68" s="21" t="s">
        <v>330</v>
      </c>
      <c r="F68" s="21" t="s">
        <v>44</v>
      </c>
      <c r="G68" s="21" t="s">
        <v>33</v>
      </c>
      <c r="H68" s="21"/>
      <c r="I68" s="8"/>
    </row>
    <row r="69" spans="1:9" x14ac:dyDescent="0.25">
      <c r="A69" s="21" t="s">
        <v>67</v>
      </c>
      <c r="B69" t="s">
        <v>280</v>
      </c>
      <c r="C69" t="s">
        <v>103</v>
      </c>
      <c r="D69" s="21" t="s">
        <v>246</v>
      </c>
      <c r="E69" s="21" t="s">
        <v>286</v>
      </c>
      <c r="F69" s="21" t="s">
        <v>103</v>
      </c>
      <c r="G69" s="21" t="s">
        <v>81</v>
      </c>
      <c r="H69" s="21"/>
      <c r="I69" s="8"/>
    </row>
    <row r="70" spans="1:9" x14ac:dyDescent="0.25">
      <c r="A70" s="21" t="s">
        <v>67</v>
      </c>
      <c r="B70" t="s">
        <v>282</v>
      </c>
      <c r="C70" t="s">
        <v>138</v>
      </c>
      <c r="D70" s="21" t="s">
        <v>246</v>
      </c>
      <c r="E70" s="21" t="s">
        <v>285</v>
      </c>
      <c r="F70" s="21" t="s">
        <v>159</v>
      </c>
      <c r="G70" s="21" t="s">
        <v>81</v>
      </c>
      <c r="H70" s="21"/>
      <c r="I70" s="8"/>
    </row>
    <row r="71" spans="1:9" x14ac:dyDescent="0.25">
      <c r="A71" s="21" t="s">
        <v>67</v>
      </c>
      <c r="B71" t="s">
        <v>281</v>
      </c>
      <c r="C71" t="s">
        <v>103</v>
      </c>
      <c r="D71" s="21" t="s">
        <v>246</v>
      </c>
      <c r="E71" s="21" t="s">
        <v>288</v>
      </c>
      <c r="F71" s="21" t="s">
        <v>103</v>
      </c>
      <c r="G71" s="21" t="s">
        <v>81</v>
      </c>
      <c r="H71" s="21"/>
      <c r="I71" s="8"/>
    </row>
    <row r="72" spans="1:9" x14ac:dyDescent="0.25">
      <c r="A72" s="21" t="s">
        <v>67</v>
      </c>
      <c r="B72" t="s">
        <v>283</v>
      </c>
      <c r="C72" t="s">
        <v>138</v>
      </c>
      <c r="D72" s="21" t="s">
        <v>246</v>
      </c>
      <c r="E72" s="21" t="s">
        <v>287</v>
      </c>
      <c r="F72" s="21" t="s">
        <v>159</v>
      </c>
      <c r="G72" s="21" t="s">
        <v>81</v>
      </c>
      <c r="H72" s="21"/>
      <c r="I72" s="8"/>
    </row>
    <row r="73" spans="1:9" x14ac:dyDescent="0.25">
      <c r="A73" s="21" t="s">
        <v>67</v>
      </c>
      <c r="B73" s="21" t="s">
        <v>313</v>
      </c>
      <c r="C73" s="21" t="s">
        <v>58</v>
      </c>
      <c r="D73" s="21" t="s">
        <v>246</v>
      </c>
      <c r="E73" s="21" t="s">
        <v>132</v>
      </c>
      <c r="F73" s="21" t="s">
        <v>133</v>
      </c>
      <c r="G73" s="21" t="str">
        <f>"Case when lower(STG."&amp;E73&amp;")='true' then 1 else 0 end as "&amp;B73</f>
        <v>Case when lower(STG.no_autoassign_vod__c)='true' then 1 else 0 end as COCH_NOT_AUTO_ASGN_FLAG</v>
      </c>
      <c r="H73" s="21"/>
      <c r="I73" s="8"/>
    </row>
    <row r="74" spans="1:9" x14ac:dyDescent="0.25">
      <c r="A74" s="21" t="s">
        <v>67</v>
      </c>
      <c r="B74" s="21" t="s">
        <v>113</v>
      </c>
      <c r="C74" s="21" t="s">
        <v>58</v>
      </c>
      <c r="D74" s="21" t="s">
        <v>246</v>
      </c>
      <c r="E74" s="21" t="s">
        <v>331</v>
      </c>
      <c r="F74" s="21" t="s">
        <v>38</v>
      </c>
      <c r="G74" s="21" t="s">
        <v>81</v>
      </c>
      <c r="H74" s="21"/>
      <c r="I74" s="8"/>
    </row>
    <row r="75" spans="1:9" x14ac:dyDescent="0.25">
      <c r="A75" s="21" t="s">
        <v>67</v>
      </c>
      <c r="B75" s="21" t="s">
        <v>258</v>
      </c>
      <c r="C75" s="21" t="s">
        <v>58</v>
      </c>
      <c r="D75" s="21" t="s">
        <v>246</v>
      </c>
      <c r="E75" s="21" t="s">
        <v>134</v>
      </c>
      <c r="F75" s="21" t="s">
        <v>135</v>
      </c>
      <c r="G75" s="21" t="str">
        <f>"Case when lower(STG."&amp;E75&amp;")='true' then 1 else 0 end as "&amp;B75</f>
        <v>Case when lower(STG.ISDELETED)='true' then 1 else 0 end as SRC_ACTV_FLAG</v>
      </c>
      <c r="H75" s="21"/>
      <c r="I75" s="8"/>
    </row>
    <row r="76" spans="1:9" x14ac:dyDescent="0.25">
      <c r="A76" s="21" t="s">
        <v>67</v>
      </c>
      <c r="B76" s="21" t="s">
        <v>51</v>
      </c>
      <c r="C76" s="21" t="s">
        <v>58</v>
      </c>
      <c r="D76" s="21" t="s">
        <v>246</v>
      </c>
      <c r="E76" s="21" t="s">
        <v>136</v>
      </c>
      <c r="F76" s="21" t="s">
        <v>58</v>
      </c>
      <c r="G76" s="21" t="s">
        <v>81</v>
      </c>
      <c r="H76" s="21"/>
      <c r="I76" s="8"/>
    </row>
    <row r="77" spans="1:9" x14ac:dyDescent="0.25">
      <c r="A77" s="21" t="s">
        <v>67</v>
      </c>
      <c r="B77" s="21" t="s">
        <v>52</v>
      </c>
      <c r="C77" s="21" t="s">
        <v>58</v>
      </c>
      <c r="D77" s="21" t="s">
        <v>246</v>
      </c>
      <c r="E77" s="21" t="s">
        <v>137</v>
      </c>
      <c r="F77" s="21" t="s">
        <v>58</v>
      </c>
      <c r="G77" s="21" t="s">
        <v>81</v>
      </c>
      <c r="H77" s="21"/>
      <c r="I77" s="8"/>
    </row>
    <row r="78" spans="1:9" x14ac:dyDescent="0.25">
      <c r="A78" s="21" t="s">
        <v>67</v>
      </c>
      <c r="B78" s="21" t="s">
        <v>259</v>
      </c>
      <c r="C78" s="21" t="s">
        <v>103</v>
      </c>
      <c r="D78" s="21" t="s">
        <v>5</v>
      </c>
      <c r="E78" s="21" t="s">
        <v>5</v>
      </c>
      <c r="F78" s="21" t="s">
        <v>5</v>
      </c>
      <c r="G78" s="21" t="s">
        <v>45</v>
      </c>
      <c r="H78" s="21"/>
      <c r="I78" s="8"/>
    </row>
    <row r="79" spans="1:9" x14ac:dyDescent="0.25">
      <c r="A79" s="21" t="s">
        <v>67</v>
      </c>
      <c r="B79" s="21" t="s">
        <v>260</v>
      </c>
      <c r="C79" s="21" t="s">
        <v>138</v>
      </c>
      <c r="D79" s="21" t="s">
        <v>5</v>
      </c>
      <c r="E79" s="21" t="s">
        <v>5</v>
      </c>
      <c r="F79" s="21" t="s">
        <v>5</v>
      </c>
      <c r="G79" s="21" t="s">
        <v>54</v>
      </c>
      <c r="H79" s="21"/>
      <c r="I79" s="8"/>
    </row>
    <row r="80" spans="1:9" x14ac:dyDescent="0.25">
      <c r="A80" s="21" t="s">
        <v>67</v>
      </c>
      <c r="B80" s="21" t="s">
        <v>261</v>
      </c>
      <c r="C80" s="21" t="s">
        <v>103</v>
      </c>
      <c r="D80" s="21" t="s">
        <v>5</v>
      </c>
      <c r="E80" s="21" t="s">
        <v>5</v>
      </c>
      <c r="F80" s="21" t="s">
        <v>5</v>
      </c>
      <c r="G80" s="21" t="s">
        <v>45</v>
      </c>
      <c r="H80" s="21"/>
      <c r="I80" s="8"/>
    </row>
    <row r="81" spans="1:9" x14ac:dyDescent="0.25">
      <c r="A81" s="21" t="s">
        <v>67</v>
      </c>
      <c r="B81" s="21" t="s">
        <v>262</v>
      </c>
      <c r="C81" s="21" t="s">
        <v>138</v>
      </c>
      <c r="D81" s="21" t="s">
        <v>5</v>
      </c>
      <c r="E81" s="21" t="s">
        <v>5</v>
      </c>
      <c r="F81" s="21" t="s">
        <v>5</v>
      </c>
      <c r="G81" s="21" t="s">
        <v>54</v>
      </c>
      <c r="H81" s="21"/>
      <c r="I81" s="8"/>
    </row>
  </sheetData>
  <mergeCells count="28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J6"/>
    <mergeCell ref="A7:B7"/>
    <mergeCell ref="C7:I7"/>
    <mergeCell ref="A8:B8"/>
    <mergeCell ref="C8:I8"/>
    <mergeCell ref="A9:B9"/>
    <mergeCell ref="C9:I9"/>
    <mergeCell ref="A10:B10"/>
    <mergeCell ref="C10:I10"/>
    <mergeCell ref="A14:B14"/>
    <mergeCell ref="C14:I14"/>
    <mergeCell ref="A15:I15"/>
    <mergeCell ref="A11:B11"/>
    <mergeCell ref="C11:I11"/>
    <mergeCell ref="A12:B12"/>
    <mergeCell ref="C12:I12"/>
    <mergeCell ref="A13:B13"/>
    <mergeCell ref="C13:I13"/>
  </mergeCells>
  <conditionalFormatting sqref="F66:G68">
    <cfRule type="uniqueValues" dxfId="1" priority="3"/>
    <cfRule type="uniqueValues" dxfId="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abSelected="1" topLeftCell="B1" workbookViewId="0">
      <selection activeCell="G54" sqref="G54"/>
    </sheetView>
  </sheetViews>
  <sheetFormatPr defaultRowHeight="15" x14ac:dyDescent="0.25"/>
  <cols>
    <col min="1" max="1" width="26.28515625" bestFit="1" customWidth="1"/>
    <col min="2" max="2" width="14.7109375" customWidth="1"/>
    <col min="3" max="3" width="23.5703125" customWidth="1"/>
    <col min="4" max="4" width="31.42578125" customWidth="1"/>
    <col min="5" max="6" width="17.140625" customWidth="1"/>
    <col min="7" max="7" width="156.7109375" bestFit="1" customWidth="1"/>
    <col min="8" max="8" width="18.7109375" bestFit="1" customWidth="1"/>
  </cols>
  <sheetData>
    <row r="1" spans="1:8" ht="14.45" customHeight="1" x14ac:dyDescent="0.25">
      <c r="A1" s="97" t="s">
        <v>64</v>
      </c>
      <c r="B1" s="97"/>
      <c r="C1" s="97"/>
      <c r="D1" s="97"/>
      <c r="E1" s="97"/>
      <c r="F1" s="97"/>
      <c r="G1" s="6"/>
      <c r="H1" s="6"/>
    </row>
    <row r="2" spans="1:8" x14ac:dyDescent="0.25">
      <c r="A2" s="93" t="s">
        <v>0</v>
      </c>
      <c r="B2" s="93"/>
      <c r="C2" s="28" t="s">
        <v>183</v>
      </c>
      <c r="D2" s="6"/>
      <c r="E2" s="6"/>
      <c r="F2" s="6"/>
      <c r="G2" s="6"/>
      <c r="H2" s="6"/>
    </row>
    <row r="3" spans="1:8" x14ac:dyDescent="0.25">
      <c r="A3" s="93" t="s">
        <v>1</v>
      </c>
      <c r="B3" s="93"/>
      <c r="C3" s="28" t="s">
        <v>184</v>
      </c>
      <c r="D3" s="6"/>
      <c r="E3" s="6"/>
      <c r="F3" s="6"/>
      <c r="G3" s="6"/>
      <c r="H3" s="6"/>
    </row>
    <row r="4" spans="1:8" x14ac:dyDescent="0.25">
      <c r="A4" s="93" t="s">
        <v>2</v>
      </c>
      <c r="B4" s="93"/>
      <c r="C4" s="26" t="s">
        <v>3</v>
      </c>
      <c r="D4" s="96"/>
      <c r="E4" s="96"/>
      <c r="F4" s="96"/>
      <c r="G4" s="96"/>
      <c r="H4" s="96"/>
    </row>
    <row r="5" spans="1:8" x14ac:dyDescent="0.25">
      <c r="A5" s="93" t="s">
        <v>4</v>
      </c>
      <c r="B5" s="93"/>
      <c r="C5" s="26" t="s">
        <v>5</v>
      </c>
      <c r="D5" s="96"/>
      <c r="E5" s="96"/>
      <c r="F5" s="96"/>
      <c r="G5" s="96"/>
      <c r="H5" s="96"/>
    </row>
    <row r="6" spans="1:8" x14ac:dyDescent="0.25">
      <c r="A6" s="93" t="s">
        <v>6</v>
      </c>
      <c r="B6" s="93"/>
      <c r="C6" s="27" t="s">
        <v>7</v>
      </c>
      <c r="D6" s="96"/>
      <c r="E6" s="96"/>
      <c r="F6" s="96"/>
      <c r="G6" s="96"/>
      <c r="H6" s="96"/>
    </row>
    <row r="7" spans="1:8" x14ac:dyDescent="0.25">
      <c r="A7" s="93" t="s">
        <v>8</v>
      </c>
      <c r="B7" s="93"/>
      <c r="C7" s="27" t="s">
        <v>60</v>
      </c>
      <c r="D7" s="96"/>
      <c r="E7" s="96"/>
      <c r="F7" s="96"/>
      <c r="G7" s="96"/>
      <c r="H7" s="96"/>
    </row>
    <row r="8" spans="1:8" x14ac:dyDescent="0.25">
      <c r="A8" s="93" t="s">
        <v>9</v>
      </c>
      <c r="B8" s="93"/>
      <c r="C8" s="26" t="s">
        <v>5</v>
      </c>
      <c r="D8" s="96"/>
      <c r="E8" s="96"/>
      <c r="F8" s="96"/>
      <c r="G8" s="96"/>
      <c r="H8" s="96"/>
    </row>
    <row r="9" spans="1:8" x14ac:dyDescent="0.25">
      <c r="A9" s="93" t="s">
        <v>10</v>
      </c>
      <c r="B9" s="93"/>
      <c r="C9" s="26" t="s">
        <v>5</v>
      </c>
      <c r="D9" s="96"/>
      <c r="E9" s="96"/>
      <c r="F9" s="96"/>
      <c r="G9" s="96"/>
      <c r="H9" s="96"/>
    </row>
    <row r="10" spans="1:8" x14ac:dyDescent="0.25">
      <c r="A10" s="93" t="s">
        <v>11</v>
      </c>
      <c r="B10" s="93"/>
      <c r="C10" s="27" t="s">
        <v>12</v>
      </c>
      <c r="D10" s="96"/>
      <c r="E10" s="96"/>
      <c r="F10" s="96"/>
      <c r="G10" s="96"/>
      <c r="H10" s="96"/>
    </row>
    <row r="11" spans="1:8" x14ac:dyDescent="0.25">
      <c r="A11" s="93" t="s">
        <v>13</v>
      </c>
      <c r="B11" s="93"/>
      <c r="C11" s="27" t="s">
        <v>5</v>
      </c>
      <c r="D11" s="96"/>
      <c r="E11" s="96"/>
      <c r="F11" s="96"/>
      <c r="G11" s="96"/>
      <c r="H11" s="96"/>
    </row>
    <row r="12" spans="1:8" x14ac:dyDescent="0.25">
      <c r="A12" s="93" t="s">
        <v>14</v>
      </c>
      <c r="B12" s="93"/>
      <c r="C12" s="31" t="s">
        <v>147</v>
      </c>
      <c r="D12" s="96"/>
      <c r="E12" s="96"/>
      <c r="F12" s="96"/>
      <c r="G12" s="96"/>
      <c r="H12" s="96"/>
    </row>
    <row r="13" spans="1:8" x14ac:dyDescent="0.25">
      <c r="A13" s="94" t="s">
        <v>16</v>
      </c>
      <c r="B13" s="94"/>
      <c r="C13" s="27"/>
      <c r="D13" s="96"/>
      <c r="E13" s="96"/>
      <c r="F13" s="96"/>
      <c r="G13" s="96"/>
      <c r="H13" s="96"/>
    </row>
    <row r="14" spans="1:8" x14ac:dyDescent="0.25">
      <c r="A14" s="93" t="s">
        <v>17</v>
      </c>
      <c r="B14" s="93"/>
      <c r="C14" s="27" t="s">
        <v>5</v>
      </c>
      <c r="D14" s="96"/>
      <c r="E14" s="96"/>
      <c r="F14" s="96"/>
      <c r="G14" s="96"/>
      <c r="H14" s="96"/>
    </row>
    <row r="15" spans="1:8" x14ac:dyDescent="0.25">
      <c r="A15" s="97" t="s">
        <v>18</v>
      </c>
      <c r="B15" s="97"/>
      <c r="C15" s="97"/>
      <c r="D15" s="6"/>
      <c r="E15" s="6"/>
      <c r="F15" s="6"/>
      <c r="G15" s="6"/>
      <c r="H15" s="6"/>
    </row>
    <row r="16" spans="1:8" x14ac:dyDescent="0.25">
      <c r="A16" s="1" t="s">
        <v>19</v>
      </c>
      <c r="B16" s="1" t="s">
        <v>20</v>
      </c>
      <c r="C16" s="1" t="s">
        <v>21</v>
      </c>
      <c r="D16" s="11" t="s">
        <v>22</v>
      </c>
      <c r="E16" s="11" t="s">
        <v>23</v>
      </c>
      <c r="F16" s="11" t="s">
        <v>24</v>
      </c>
      <c r="G16" s="3" t="s">
        <v>25</v>
      </c>
      <c r="H16" s="3" t="s">
        <v>26</v>
      </c>
    </row>
    <row r="17" spans="1:8" ht="120" x14ac:dyDescent="0.25">
      <c r="A17" s="21" t="s">
        <v>289</v>
      </c>
      <c r="B17" s="21" t="s">
        <v>267</v>
      </c>
      <c r="C17" s="21" t="s">
        <v>58</v>
      </c>
      <c r="D17" s="21" t="s">
        <v>27</v>
      </c>
      <c r="E17" s="21" t="s">
        <v>174</v>
      </c>
      <c r="F17" s="21" t="s">
        <v>29</v>
      </c>
      <c r="G17" s="6" t="s">
        <v>381</v>
      </c>
      <c r="H17" s="21"/>
    </row>
    <row r="18" spans="1:8" ht="105" x14ac:dyDescent="0.25">
      <c r="A18" s="21" t="s">
        <v>289</v>
      </c>
      <c r="B18" s="21" t="s">
        <v>253</v>
      </c>
      <c r="C18" s="21" t="s">
        <v>58</v>
      </c>
      <c r="D18" s="21" t="s">
        <v>156</v>
      </c>
      <c r="E18" s="21" t="s">
        <v>170</v>
      </c>
      <c r="F18" s="21" t="s">
        <v>29</v>
      </c>
      <c r="G18" s="6" t="s">
        <v>382</v>
      </c>
      <c r="H18" s="21"/>
    </row>
    <row r="19" spans="1:8" ht="135" x14ac:dyDescent="0.25">
      <c r="A19" s="21" t="s">
        <v>289</v>
      </c>
      <c r="B19" s="21" t="s">
        <v>265</v>
      </c>
      <c r="C19" s="21" t="s">
        <v>58</v>
      </c>
      <c r="D19" s="21" t="s">
        <v>149</v>
      </c>
      <c r="E19" s="21" t="s">
        <v>171</v>
      </c>
      <c r="F19" s="21" t="s">
        <v>29</v>
      </c>
      <c r="G19" s="6" t="s">
        <v>383</v>
      </c>
      <c r="H19" s="21"/>
    </row>
    <row r="20" spans="1:8" x14ac:dyDescent="0.25">
      <c r="A20" s="21" t="s">
        <v>289</v>
      </c>
      <c r="B20" s="21" t="s">
        <v>77</v>
      </c>
      <c r="C20" s="21" t="s">
        <v>78</v>
      </c>
      <c r="D20" s="21"/>
      <c r="E20" s="21"/>
      <c r="F20" s="21"/>
      <c r="G20" s="51" t="s">
        <v>358</v>
      </c>
      <c r="H20" s="21"/>
    </row>
    <row r="21" spans="1:8" ht="75" x14ac:dyDescent="0.25">
      <c r="A21" s="21" t="s">
        <v>289</v>
      </c>
      <c r="B21" s="21" t="s">
        <v>57</v>
      </c>
      <c r="C21" s="21" t="s">
        <v>58</v>
      </c>
      <c r="D21" s="21" t="s">
        <v>5</v>
      </c>
      <c r="E21" s="21" t="s">
        <v>57</v>
      </c>
      <c r="F21" s="21" t="s">
        <v>58</v>
      </c>
      <c r="G21" s="6" t="s">
        <v>384</v>
      </c>
      <c r="H21" s="21" t="s">
        <v>59</v>
      </c>
    </row>
    <row r="22" spans="1:8" x14ac:dyDescent="0.25">
      <c r="A22" s="21" t="s">
        <v>289</v>
      </c>
      <c r="B22" s="21" t="s">
        <v>175</v>
      </c>
      <c r="C22" s="21" t="s">
        <v>125</v>
      </c>
      <c r="D22" s="21" t="s">
        <v>243</v>
      </c>
      <c r="E22" s="21" t="s">
        <v>158</v>
      </c>
      <c r="F22" s="21" t="s">
        <v>159</v>
      </c>
      <c r="G22" s="21" t="s">
        <v>81</v>
      </c>
      <c r="H22" s="21"/>
    </row>
    <row r="23" spans="1:8" x14ac:dyDescent="0.25">
      <c r="A23" s="21" t="s">
        <v>289</v>
      </c>
      <c r="B23" s="21" t="s">
        <v>176</v>
      </c>
      <c r="C23" s="21" t="s">
        <v>125</v>
      </c>
      <c r="D23" s="21" t="s">
        <v>243</v>
      </c>
      <c r="E23" s="21" t="s">
        <v>359</v>
      </c>
      <c r="F23" s="21" t="s">
        <v>111</v>
      </c>
      <c r="G23" s="21" t="s">
        <v>81</v>
      </c>
      <c r="H23" s="21"/>
    </row>
    <row r="24" spans="1:8" x14ac:dyDescent="0.25">
      <c r="A24" s="21" t="s">
        <v>289</v>
      </c>
      <c r="B24" s="21" t="s">
        <v>177</v>
      </c>
      <c r="C24" s="21" t="s">
        <v>178</v>
      </c>
      <c r="D24" s="21" t="s">
        <v>243</v>
      </c>
      <c r="E24" s="21" t="s">
        <v>179</v>
      </c>
      <c r="F24" s="21" t="s">
        <v>178</v>
      </c>
      <c r="G24" s="21" t="s">
        <v>81</v>
      </c>
      <c r="H24" s="21"/>
    </row>
    <row r="25" spans="1:8" x14ac:dyDescent="0.25">
      <c r="A25" s="21" t="s">
        <v>289</v>
      </c>
      <c r="B25" s="21" t="s">
        <v>43</v>
      </c>
      <c r="C25" s="21" t="s">
        <v>106</v>
      </c>
      <c r="D25" s="21" t="s">
        <v>5</v>
      </c>
      <c r="E25" s="21" t="s">
        <v>5</v>
      </c>
      <c r="F25" s="21" t="s">
        <v>5</v>
      </c>
      <c r="G25" s="21" t="s">
        <v>45</v>
      </c>
      <c r="H25" s="21"/>
    </row>
    <row r="26" spans="1:8" x14ac:dyDescent="0.25">
      <c r="A26" s="21" t="s">
        <v>289</v>
      </c>
      <c r="B26" s="21" t="s">
        <v>47</v>
      </c>
      <c r="C26" s="21" t="s">
        <v>106</v>
      </c>
      <c r="D26" s="21" t="s">
        <v>5</v>
      </c>
      <c r="E26" s="21" t="s">
        <v>5</v>
      </c>
      <c r="F26" s="21" t="s">
        <v>5</v>
      </c>
      <c r="G26" s="21" t="s">
        <v>153</v>
      </c>
      <c r="H26" s="21"/>
    </row>
    <row r="27" spans="1:8" x14ac:dyDescent="0.25">
      <c r="A27" s="21" t="s">
        <v>289</v>
      </c>
      <c r="B27" s="21" t="s">
        <v>42</v>
      </c>
      <c r="C27" s="21" t="s">
        <v>257</v>
      </c>
      <c r="D27" s="21" t="s">
        <v>5</v>
      </c>
      <c r="E27" s="21" t="s">
        <v>5</v>
      </c>
      <c r="F27" s="21" t="s">
        <v>5</v>
      </c>
      <c r="G27" s="21" t="s">
        <v>148</v>
      </c>
      <c r="H27" s="21"/>
    </row>
    <row r="28" spans="1:8" x14ac:dyDescent="0.25">
      <c r="A28" s="21" t="s">
        <v>289</v>
      </c>
      <c r="B28" s="21" t="s">
        <v>152</v>
      </c>
      <c r="C28" s="21" t="s">
        <v>257</v>
      </c>
      <c r="D28" s="21" t="s">
        <v>5</v>
      </c>
      <c r="E28" s="21" t="s">
        <v>5</v>
      </c>
      <c r="F28" s="21" t="s">
        <v>5</v>
      </c>
      <c r="G28" s="21" t="s">
        <v>148</v>
      </c>
      <c r="H28" s="21"/>
    </row>
    <row r="29" spans="1:8" x14ac:dyDescent="0.25">
      <c r="A29" s="21" t="s">
        <v>289</v>
      </c>
      <c r="B29" s="21" t="s">
        <v>258</v>
      </c>
      <c r="C29" s="21" t="s">
        <v>58</v>
      </c>
      <c r="D29" s="21" t="s">
        <v>243</v>
      </c>
      <c r="E29" s="21" t="s">
        <v>134</v>
      </c>
      <c r="F29" s="21" t="s">
        <v>135</v>
      </c>
      <c r="G29" s="21" t="s">
        <v>154</v>
      </c>
      <c r="H29" s="21"/>
    </row>
    <row r="30" spans="1:8" x14ac:dyDescent="0.25">
      <c r="A30" s="21" t="s">
        <v>289</v>
      </c>
      <c r="B30" s="21" t="s">
        <v>180</v>
      </c>
      <c r="C30" s="21" t="s">
        <v>58</v>
      </c>
      <c r="D30" s="21" t="s">
        <v>243</v>
      </c>
      <c r="E30" s="21" t="s">
        <v>181</v>
      </c>
      <c r="F30" s="21" t="s">
        <v>182</v>
      </c>
      <c r="G30" s="21" t="s">
        <v>81</v>
      </c>
      <c r="H30" s="21"/>
    </row>
    <row r="31" spans="1:8" x14ac:dyDescent="0.25">
      <c r="A31" s="21" t="s">
        <v>289</v>
      </c>
      <c r="B31" s="21" t="s">
        <v>51</v>
      </c>
      <c r="C31" s="21" t="s">
        <v>58</v>
      </c>
      <c r="D31" s="21" t="s">
        <v>243</v>
      </c>
      <c r="E31" s="21" t="s">
        <v>51</v>
      </c>
      <c r="F31" s="21" t="s">
        <v>58</v>
      </c>
      <c r="G31" s="21" t="s">
        <v>81</v>
      </c>
      <c r="H31" s="21"/>
    </row>
    <row r="32" spans="1:8" x14ac:dyDescent="0.25">
      <c r="A32" s="21" t="s">
        <v>289</v>
      </c>
      <c r="B32" s="21" t="s">
        <v>52</v>
      </c>
      <c r="C32" s="21" t="s">
        <v>58</v>
      </c>
      <c r="D32" s="21" t="s">
        <v>243</v>
      </c>
      <c r="E32" s="21" t="s">
        <v>52</v>
      </c>
      <c r="F32" s="21" t="s">
        <v>58</v>
      </c>
      <c r="G32" s="21" t="s">
        <v>81</v>
      </c>
      <c r="H32" s="21"/>
    </row>
    <row r="33" spans="1:8" x14ac:dyDescent="0.25">
      <c r="A33" s="21" t="s">
        <v>289</v>
      </c>
      <c r="B33" s="21" t="s">
        <v>259</v>
      </c>
      <c r="C33" s="21" t="s">
        <v>103</v>
      </c>
      <c r="D33" s="21" t="s">
        <v>5</v>
      </c>
      <c r="E33" s="21" t="s">
        <v>5</v>
      </c>
      <c r="F33" s="21" t="s">
        <v>5</v>
      </c>
      <c r="G33" s="21" t="s">
        <v>55</v>
      </c>
      <c r="H33" s="21"/>
    </row>
    <row r="34" spans="1:8" x14ac:dyDescent="0.25">
      <c r="A34" s="21" t="s">
        <v>289</v>
      </c>
      <c r="B34" s="21" t="s">
        <v>260</v>
      </c>
      <c r="C34" s="21" t="s">
        <v>138</v>
      </c>
      <c r="D34" s="21" t="s">
        <v>243</v>
      </c>
      <c r="E34" s="21" t="s">
        <v>53</v>
      </c>
      <c r="F34" s="21" t="s">
        <v>125</v>
      </c>
      <c r="G34" s="21" t="s">
        <v>81</v>
      </c>
      <c r="H34" s="21"/>
    </row>
    <row r="35" spans="1:8" x14ac:dyDescent="0.25">
      <c r="A35" s="21" t="s">
        <v>289</v>
      </c>
      <c r="B35" s="21" t="s">
        <v>261</v>
      </c>
      <c r="C35" s="21" t="s">
        <v>103</v>
      </c>
      <c r="D35" s="21" t="s">
        <v>5</v>
      </c>
      <c r="E35" s="21" t="s">
        <v>5</v>
      </c>
      <c r="F35" s="21" t="s">
        <v>5</v>
      </c>
      <c r="G35" s="21" t="s">
        <v>55</v>
      </c>
      <c r="H35" s="21"/>
    </row>
    <row r="36" spans="1:8" x14ac:dyDescent="0.25">
      <c r="A36" s="21" t="s">
        <v>289</v>
      </c>
      <c r="B36" s="21" t="s">
        <v>262</v>
      </c>
      <c r="C36" s="21" t="s">
        <v>138</v>
      </c>
      <c r="D36" s="21" t="s">
        <v>243</v>
      </c>
      <c r="E36" s="21" t="s">
        <v>56</v>
      </c>
      <c r="F36" s="21" t="s">
        <v>138</v>
      </c>
      <c r="G36" s="21" t="s">
        <v>81</v>
      </c>
      <c r="H36" s="21"/>
    </row>
  </sheetData>
  <mergeCells count="26">
    <mergeCell ref="A14:B14"/>
    <mergeCell ref="D14:H14"/>
    <mergeCell ref="A15:C15"/>
    <mergeCell ref="A1:F1"/>
    <mergeCell ref="A12:B12"/>
    <mergeCell ref="D12:H12"/>
    <mergeCell ref="A13:B13"/>
    <mergeCell ref="D13:H13"/>
    <mergeCell ref="A10:B10"/>
    <mergeCell ref="D10:H10"/>
    <mergeCell ref="A11:B11"/>
    <mergeCell ref="D11:H11"/>
    <mergeCell ref="A8:B8"/>
    <mergeCell ref="D8:H8"/>
    <mergeCell ref="A9:B9"/>
    <mergeCell ref="D9:H9"/>
    <mergeCell ref="A2:B2"/>
    <mergeCell ref="A3:B3"/>
    <mergeCell ref="A6:B6"/>
    <mergeCell ref="D6:H6"/>
    <mergeCell ref="A7:B7"/>
    <mergeCell ref="D7:H7"/>
    <mergeCell ref="A4:B4"/>
    <mergeCell ref="D4:H4"/>
    <mergeCell ref="A5:B5"/>
    <mergeCell ref="D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S Documents" ma:contentTypeID="0x010100B4A9042AEBB76343882F5EACAD4A2FF3001513F8282C2B694AAA9DBCB64079D32B" ma:contentTypeVersion="20" ma:contentTypeDescription="Create a new document." ma:contentTypeScope="" ma:versionID="1569f62efb0fd14d08cd244d81329c3a">
  <xsd:schema xmlns:xsd="http://www.w3.org/2001/XMLSchema" xmlns:xs="http://www.w3.org/2001/XMLSchema" xmlns:p="http://schemas.microsoft.com/office/2006/metadata/properties" xmlns:ns1="http://schemas.microsoft.com/sharepoint/v3" xmlns:ns2="836c9e59-f2b0-492c-a7fb-a11514267586" targetNamespace="http://schemas.microsoft.com/office/2006/metadata/properties" ma:root="true" ma:fieldsID="798de63b9584eced8f126dd93fc17c71" ns1:_="" ns2:_="">
    <xsd:import namespace="http://schemas.microsoft.com/sharepoint/v3"/>
    <xsd:import namespace="836c9e59-f2b0-492c-a7fb-a11514267586"/>
    <xsd:element name="properties">
      <xsd:complexType>
        <xsd:sequence>
          <xsd:element name="documentManagement">
            <xsd:complexType>
              <xsd:all>
                <xsd:element ref="ns1:Description0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escription0" ma:index="2" nillable="true" ma:displayName="Description" ma:description="Description for Documents" ma:internalName="Description0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9e59-f2b0-492c-a7fb-a11514267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7E36467-0ACD-4B59-865E-3F3689085B0D}"/>
</file>

<file path=customXml/itemProps2.xml><?xml version="1.0" encoding="utf-8"?>
<ds:datastoreItem xmlns:ds="http://schemas.openxmlformats.org/officeDocument/2006/customXml" ds:itemID="{54EA5D84-3F71-4A91-8703-AFE65268B886}"/>
</file>

<file path=customXml/itemProps3.xml><?xml version="1.0" encoding="utf-8"?>
<ds:datastoreItem xmlns:ds="http://schemas.openxmlformats.org/officeDocument/2006/customXml" ds:itemID="{31F40B96-0A53-44AC-993F-CFCA6432BF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D_MKT_QSTN</vt:lpstr>
      <vt:lpstr>D_MKT_ANSR</vt:lpstr>
      <vt:lpstr>D_MKT_SRVY</vt:lpstr>
      <vt:lpstr>D_MKT_SRVY_EXT_ATTR</vt:lpstr>
      <vt:lpstr>F_HCP_PCPT_ANSR</vt:lpstr>
      <vt:lpstr>D_MKT_SRVY_TRGT</vt:lpstr>
      <vt:lpstr>XREF_MKT_SRVY_QSTN_ANSR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Enakshi Ghosh</dc:creator>
  <cp:lastModifiedBy>Aman Srivastava</cp:lastModifiedBy>
  <dcterms:created xsi:type="dcterms:W3CDTF">2019-04-15T10:45:45Z</dcterms:created>
  <dcterms:modified xsi:type="dcterms:W3CDTF">2019-07-17T15:40:02Z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0x010100B4A9042AEBB76343882F5EACAD4A2FF3001513F8282C2B694AAA9DBCB64079D32B</vt:lpwstr>
  </property>
</Properties>
</file>