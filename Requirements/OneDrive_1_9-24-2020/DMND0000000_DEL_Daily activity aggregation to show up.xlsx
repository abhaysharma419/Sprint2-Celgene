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10380" activeTab="1"/>
  </bookViews>
  <sheets>
    <sheet name="CR_Summary" sheetId="2" r:id="rId1"/>
    <sheet name="Requirement" sheetId="3" r:id="rId2"/>
    <sheet name="DEL" sheetId="35" r:id="rId3"/>
    <sheet name="Indication Dropdowns" sheetId="16" state="hidden" r:id="rId4"/>
  </sheets>
  <definedNames>
    <definedName name="_xlnm._FilterDatabase" localSheetId="1" hidden="1">Requirement!$B$1:$E$123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5" i="3" l="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3" i="3" l="1"/>
  <c r="A4" i="3" s="1"/>
  <c r="A5" i="3" s="1"/>
  <c r="A6" i="3" s="1"/>
  <c r="A7" i="3" s="1"/>
  <c r="A8" i="3" s="1"/>
  <c r="A9" i="3" s="1"/>
  <c r="A10" i="3" s="1"/>
  <c r="A11" i="3" s="1"/>
  <c r="A12" i="3" s="1"/>
  <c r="A13" i="3" s="1"/>
  <c r="A14" i="3" s="1"/>
  <c r="A15" i="3" s="1"/>
  <c r="A16" i="3" s="1"/>
  <c r="A17" i="3" s="1"/>
  <c r="A18" i="3" s="1"/>
  <c r="A19" i="3" s="1"/>
  <c r="A20" i="3" s="1"/>
  <c r="A21" i="3" s="1"/>
  <c r="A22" i="3" s="1"/>
  <c r="A23" i="3" s="1"/>
  <c r="A24" i="3" s="1"/>
  <c r="B28" i="3"/>
  <c r="B60" i="3"/>
  <c r="B13" i="3"/>
  <c r="B30" i="3"/>
  <c r="B50" i="3"/>
  <c r="B15" i="3"/>
  <c r="B3" i="3"/>
  <c r="B38" i="3"/>
  <c r="B7" i="3"/>
  <c r="B23" i="3"/>
  <c r="B34" i="3"/>
  <c r="B46" i="3"/>
  <c r="B44" i="3"/>
  <c r="B54" i="3"/>
  <c r="B19" i="3"/>
  <c r="B48" i="3"/>
  <c r="B58" i="3"/>
  <c r="B11" i="3"/>
  <c r="B32" i="3"/>
  <c r="B40" i="3"/>
  <c r="B56" i="3"/>
  <c r="B36" i="3"/>
  <c r="B21" i="3"/>
  <c r="B26" i="3"/>
  <c r="B5" i="3"/>
  <c r="B17" i="3"/>
  <c r="B52" i="3"/>
  <c r="B42" i="3"/>
  <c r="B9" i="3"/>
  <c r="B134" i="3" l="1"/>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2" i="3"/>
  <c r="B53" i="3"/>
  <c r="B37" i="3"/>
  <c r="B59" i="3"/>
  <c r="B35" i="3"/>
  <c r="B47" i="3"/>
  <c r="B18" i="3"/>
  <c r="B45" i="3"/>
  <c r="B49" i="3"/>
  <c r="B61" i="3"/>
  <c r="B55" i="3"/>
  <c r="B6" i="3"/>
  <c r="B4" i="3"/>
  <c r="B41" i="3"/>
  <c r="B57" i="3"/>
  <c r="B51" i="3"/>
  <c r="B8" i="3"/>
  <c r="B12" i="3"/>
  <c r="B27" i="3"/>
  <c r="B29" i="3"/>
  <c r="B43" i="3"/>
  <c r="B16" i="3"/>
  <c r="B20" i="3"/>
  <c r="B33" i="3"/>
  <c r="B31" i="3"/>
  <c r="B39" i="3"/>
  <c r="B10" i="3"/>
  <c r="B22" i="3"/>
  <c r="B25" i="3"/>
  <c r="B24" i="3"/>
  <c r="B14" i="3"/>
</calcChain>
</file>

<file path=xl/sharedStrings.xml><?xml version="1.0" encoding="utf-8"?>
<sst xmlns="http://schemas.openxmlformats.org/spreadsheetml/2006/main" count="89" uniqueCount="72">
  <si>
    <t>High</t>
  </si>
  <si>
    <t>Business Priority</t>
    <phoneticPr fontId="0"/>
  </si>
  <si>
    <t>Change Description</t>
    <phoneticPr fontId="0"/>
  </si>
  <si>
    <t>Change Name</t>
  </si>
  <si>
    <t>Requested Date</t>
    <phoneticPr fontId="0"/>
  </si>
  <si>
    <t>Impacted Report</t>
    <phoneticPr fontId="0"/>
  </si>
  <si>
    <t>Demand #</t>
  </si>
  <si>
    <t>Impacted Workstream</t>
    <phoneticPr fontId="0"/>
  </si>
  <si>
    <t>DMND0000000</t>
  </si>
  <si>
    <t>#</t>
    <phoneticPr fontId="0"/>
  </si>
  <si>
    <t>Requirement ID</t>
    <phoneticPr fontId="0"/>
  </si>
  <si>
    <t>System</t>
    <phoneticPr fontId="0"/>
  </si>
  <si>
    <t>Report Name</t>
    <phoneticPr fontId="0"/>
  </si>
  <si>
    <t>Description</t>
    <phoneticPr fontId="0"/>
  </si>
  <si>
    <t>-</t>
  </si>
  <si>
    <t>REV MM</t>
  </si>
  <si>
    <t>POM</t>
  </si>
  <si>
    <t>EM</t>
  </si>
  <si>
    <t>REV FL</t>
  </si>
  <si>
    <t>REV ATL</t>
  </si>
  <si>
    <t>IST</t>
  </si>
  <si>
    <t>REVLIMID ATLL</t>
  </si>
  <si>
    <t>SP</t>
  </si>
  <si>
    <t>REV MDS</t>
  </si>
  <si>
    <t>IO HL</t>
  </si>
  <si>
    <t>Suggested dropdown list order:</t>
  </si>
  <si>
    <t>ONC1</t>
  </si>
  <si>
    <t>IO LC</t>
  </si>
  <si>
    <t>IO RCC</t>
  </si>
  <si>
    <t>OP RCC</t>
  </si>
  <si>
    <t>OPYV RCC</t>
  </si>
  <si>
    <t>IO HN</t>
  </si>
  <si>
    <t>ONC2</t>
  </si>
  <si>
    <t>IO GC</t>
  </si>
  <si>
    <t>IO EC</t>
  </si>
  <si>
    <t>IO CRC</t>
  </si>
  <si>
    <t>OP CRC</t>
  </si>
  <si>
    <t>* according to OPYV CRC launch</t>
  </si>
  <si>
    <t>OPYV CRC</t>
  </si>
  <si>
    <t>IO MELA</t>
  </si>
  <si>
    <t>OP MELA</t>
  </si>
  <si>
    <t>OPYV MELA</t>
  </si>
  <si>
    <t>ONC1,ONC2</t>
  </si>
  <si>
    <t>YV</t>
  </si>
  <si>
    <t>IM</t>
  </si>
  <si>
    <t>EQ</t>
  </si>
  <si>
    <t>OR</t>
  </si>
  <si>
    <t>HEMA</t>
  </si>
  <si>
    <t>Daily activity aggregation to show up in DEL</t>
    <phoneticPr fontId="15"/>
  </si>
  <si>
    <t>DEL</t>
    <phoneticPr fontId="15"/>
  </si>
  <si>
    <r>
      <t>C</t>
    </r>
    <r>
      <rPr>
        <sz val="10"/>
        <color rgb="FF000000"/>
        <rFont val="Arial"/>
        <family val="2"/>
      </rPr>
      <t>all Date</t>
    </r>
    <phoneticPr fontId="16"/>
  </si>
  <si>
    <r>
      <t>H</t>
    </r>
    <r>
      <rPr>
        <sz val="10"/>
        <color rgb="FF000000"/>
        <rFont val="Arial"/>
        <family val="2"/>
      </rPr>
      <t>EMA ATLL</t>
    </r>
    <phoneticPr fontId="16"/>
  </si>
  <si>
    <t xml:space="preserve">There is one request to provide daily number of activity metrics such as actual detailing, Ex-meeting and so on along with product and therapeutic area information among Hematology marketing BI&amp;A. </t>
    <phoneticPr fontId="15"/>
  </si>
  <si>
    <t>C-SCAN</t>
    <phoneticPr fontId="15"/>
  </si>
  <si>
    <t># of Detail_daily</t>
    <phoneticPr fontId="15"/>
  </si>
  <si>
    <t>#_of_Appointment_Detail_detail</t>
    <phoneticPr fontId="15"/>
  </si>
  <si>
    <t>#_of_Approved_Email_detail</t>
    <phoneticPr fontId="15"/>
  </si>
  <si>
    <t>#_of_Detail_with_Covisit_detail</t>
    <phoneticPr fontId="15"/>
  </si>
  <si>
    <t>#_of_Detail_with_IVA_detail</t>
    <phoneticPr fontId="15"/>
  </si>
  <si>
    <t>#_of_ExMeeting_detail</t>
    <phoneticPr fontId="15"/>
  </si>
  <si>
    <t>#_of_P2P_detail</t>
    <phoneticPr fontId="15"/>
  </si>
  <si>
    <t>#_of_Web_Seminar_detail</t>
    <phoneticPr fontId="15"/>
  </si>
  <si>
    <t>亀田総合病院　医療</t>
    <phoneticPr fontId="15"/>
  </si>
  <si>
    <t>北舘　明宏</t>
    <phoneticPr fontId="15"/>
  </si>
  <si>
    <t>Institution Name</t>
    <phoneticPr fontId="15"/>
  </si>
  <si>
    <t>Doctor Name</t>
    <phoneticPr fontId="15"/>
  </si>
  <si>
    <t>Add Reporting table to accommodate daily activity metrics by product and therapeutic area. The reporting table should contain following attributes
Institution Code
Institution Name
Doctor Code
Doctor Name
Call Date
Product or Therapeutic area
# of Detail_daily
#_of_Appointment_Detail_detail
#_of_Approved_Email_detail
#_of_Detail_with_Covisit_detail
#_of_Detail_with_IVA_detail
#_of_ExMeeting_detail
#_of_P2P_detail
#_of_Web_Seminar_detail</t>
    <phoneticPr fontId="15"/>
  </si>
  <si>
    <t>The reporting table should contain all historical activity data which is available in L2 table</t>
    <phoneticPr fontId="15"/>
  </si>
  <si>
    <t>Reporting Table Image</t>
    <phoneticPr fontId="15"/>
  </si>
  <si>
    <t>Product Name</t>
    <phoneticPr fontId="15"/>
  </si>
  <si>
    <t>Note that Product Name, Institution Name and Doctor Name should be replaced with its surrogate key in actual table</t>
    <phoneticPr fontId="15"/>
  </si>
  <si>
    <t>Add following metrics from the reporting table to DEL metrics 
# of Detail_daily
#_of_Appointment_Detail_detail
#_of_Approved_Email_detail
#_of_Detail_with_Covisit_detail
#_of_Detail_with_IVA_detail
#_of_ExMeeting_detail
#_of_P2P_detail
#_of_Web_Seminar_detail</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</si>
</sst>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409]mmmm\-yy;@"/>
    <numFmt numFmtId="177" formatCode="#,##0_);\(#,##0\)"/>
  </numFmts>
  <fonts count="18" x14ac:knownFonts="1">
    <font>
      <sz val="11"/>
      <color theme="1"/>
      <name val="游ゴシック"/>
      <family val="2"/>
      <scheme val="minor"/>
    </font>
    <font>
      <sz val="11"/>
      <color theme="1"/>
      <name val="游ゴシック"/>
      <family val="2"/>
      <charset val="128"/>
      <scheme val="minor"/>
    </font>
    <font>
      <sz val="9"/>
      <color theme="1"/>
      <name val="Arial"/>
      <family val="2"/>
      <charset val="128"/>
    </font>
    <font>
      <sz val="10"/>
      <color theme="1"/>
      <name val="Arial"/>
      <family val="2"/>
    </font>
    <font>
      <i/>
      <sz val="10"/>
      <name val="Arial"/>
      <family val="2"/>
    </font>
    <font>
      <b/>
      <sz val="10"/>
      <color theme="1"/>
      <name val="Arial"/>
      <family val="2"/>
    </font>
    <font>
      <sz val="10"/>
      <color rgb="FF000000"/>
      <name val="Arial"/>
      <family val="2"/>
    </font>
    <font>
      <b/>
      <sz val="9"/>
      <name val="Arial"/>
      <family val="2"/>
    </font>
    <font>
      <sz val="9"/>
      <name val="Arial"/>
      <family val="2"/>
    </font>
    <font>
      <sz val="9"/>
      <color rgb="FFFF0000"/>
      <name val="Arial"/>
      <family val="2"/>
      <charset val="128"/>
    </font>
    <font>
      <sz val="9"/>
      <color rgb="FFFF0000"/>
      <name val="Arial"/>
      <family val="2"/>
    </font>
    <font>
      <sz val="11"/>
      <color theme="1"/>
      <name val="游ゴシック"/>
      <family val="2"/>
      <scheme val="minor"/>
    </font>
    <font>
      <sz val="11"/>
      <color theme="1"/>
      <name val="游ゴシック"/>
      <family val="2"/>
      <charset val="128"/>
      <scheme val="minor"/>
    </font>
    <font>
      <b/>
      <sz val="11"/>
      <color rgb="FFFF0000"/>
      <name val="游ゴシック"/>
      <family val="2"/>
      <scheme val="minor"/>
    </font>
    <font>
      <sz val="9"/>
      <name val="Arial"/>
      <family val="2"/>
      <charset val="128"/>
    </font>
    <font>
      <sz val="6"/>
      <name val="游ゴシック"/>
      <family val="3"/>
      <charset val="128"/>
      <scheme val="minor"/>
    </font>
    <font>
      <sz val="6"/>
      <name val="ＭＳ Ｐゴシック"/>
      <family val="3"/>
      <charset val="128"/>
    </font>
    <font>
      <sz val="10"/>
      <color rgb="FF000000"/>
      <name val="ＭＳ Ｐゴシック"/>
      <family val="3"/>
      <charset val="128"/>
    </font>
  </fonts>
  <fills count="7">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bottom style="double">
        <color indexed="64"/>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0" borderId="0"/>
    <xf numFmtId="0" fontId="2" fillId="0" borderId="0">
      <alignment vertical="center"/>
    </xf>
    <xf numFmtId="0" fontId="11" fillId="0" borderId="0"/>
    <xf numFmtId="0" fontId="12" fillId="0" borderId="0"/>
    <xf numFmtId="0" fontId="1" fillId="0" borderId="0"/>
    <xf numFmtId="0" fontId="6" fillId="0" borderId="0">
      <alignment vertical="center"/>
    </xf>
  </cellStyleXfs>
  <cellXfs count="47">
    <xf numFmtId="0" fontId="0" fillId="0" borderId="0" xfId="0"/>
    <xf numFmtId="0" fontId="3" fillId="0" borderId="0" xfId="1" applyFont="1" applyFill="1" applyBorder="1" applyAlignment="1">
      <alignment vertical="top"/>
    </xf>
    <xf numFmtId="0" fontId="3" fillId="0" borderId="0" xfId="1" applyFont="1" applyFill="1" applyBorder="1" applyAlignment="1">
      <alignment vertical="top" wrapText="1"/>
    </xf>
    <xf numFmtId="0" fontId="5" fillId="0" borderId="1" xfId="1" applyFont="1" applyFill="1" applyBorder="1" applyAlignment="1">
      <alignment vertical="top" wrapText="1"/>
    </xf>
    <xf numFmtId="0" fontId="3" fillId="0" borderId="5" xfId="1" applyFont="1" applyFill="1" applyBorder="1" applyAlignment="1">
      <alignment vertical="top" wrapText="1"/>
    </xf>
    <xf numFmtId="0" fontId="3" fillId="0" borderId="6" xfId="1" applyFont="1" applyFill="1" applyBorder="1" applyAlignment="1">
      <alignment vertical="top" wrapText="1"/>
    </xf>
    <xf numFmtId="0" fontId="5" fillId="0" borderId="7" xfId="1" applyFont="1" applyFill="1" applyBorder="1" applyAlignment="1">
      <alignment vertical="top" wrapText="1"/>
    </xf>
    <xf numFmtId="176" fontId="3" fillId="0" borderId="1" xfId="1" applyNumberFormat="1" applyFont="1" applyFill="1" applyBorder="1" applyAlignment="1">
      <alignment vertical="top" wrapText="1"/>
    </xf>
    <xf numFmtId="0" fontId="3" fillId="0" borderId="1" xfId="1" applyFont="1" applyFill="1" applyBorder="1" applyAlignment="1">
      <alignment vertical="top" wrapText="1"/>
    </xf>
    <xf numFmtId="0" fontId="7" fillId="2" borderId="8" xfId="1" applyFont="1" applyFill="1" applyBorder="1" applyAlignment="1">
      <alignment vertical="top" wrapText="1"/>
    </xf>
    <xf numFmtId="0" fontId="2" fillId="0" borderId="0" xfId="1" applyAlignment="1">
      <alignment vertical="top" wrapText="1"/>
    </xf>
    <xf numFmtId="0" fontId="2" fillId="3" borderId="9" xfId="1" applyFill="1" applyBorder="1" applyAlignment="1">
      <alignment vertical="top" wrapText="1"/>
    </xf>
    <xf numFmtId="0" fontId="8" fillId="3" borderId="9" xfId="1" applyFont="1" applyFill="1" applyBorder="1" applyAlignment="1">
      <alignment vertical="top" wrapText="1"/>
    </xf>
    <xf numFmtId="0" fontId="8" fillId="0" borderId="9" xfId="1" applyFont="1" applyBorder="1" applyAlignment="1">
      <alignment vertical="top" wrapText="1"/>
    </xf>
    <xf numFmtId="0" fontId="8" fillId="0" borderId="9" xfId="1" applyFont="1" applyFill="1" applyBorder="1" applyAlignment="1">
      <alignment vertical="top" wrapText="1"/>
    </xf>
    <xf numFmtId="0" fontId="9" fillId="0" borderId="0" xfId="1" applyFont="1" applyAlignment="1">
      <alignment vertical="top" wrapText="1"/>
    </xf>
    <xf numFmtId="0" fontId="2" fillId="3" borderId="10" xfId="1" applyFill="1" applyBorder="1" applyAlignment="1">
      <alignment vertical="top" wrapText="1"/>
    </xf>
    <xf numFmtId="0" fontId="8" fillId="3" borderId="10" xfId="1" applyFont="1" applyFill="1" applyBorder="1" applyAlignment="1">
      <alignment vertical="top" wrapText="1"/>
    </xf>
    <xf numFmtId="0" fontId="8" fillId="0" borderId="10" xfId="1" applyFont="1" applyBorder="1" applyAlignment="1">
      <alignment vertical="top" wrapText="1"/>
    </xf>
    <xf numFmtId="0" fontId="8" fillId="0" borderId="10" xfId="1" applyFont="1" applyFill="1" applyBorder="1" applyAlignment="1">
      <alignment vertical="top" wrapText="1"/>
    </xf>
    <xf numFmtId="0" fontId="10" fillId="0" borderId="10" xfId="1" applyFont="1" applyFill="1" applyBorder="1" applyAlignment="1">
      <alignment vertical="top" wrapText="1"/>
    </xf>
    <xf numFmtId="0" fontId="1" fillId="0" borderId="0" xfId="4"/>
    <xf numFmtId="0" fontId="1" fillId="0" borderId="1" xfId="4" applyBorder="1"/>
    <xf numFmtId="0" fontId="1" fillId="0" borderId="0" xfId="4" applyAlignment="1">
      <alignment vertical="center"/>
    </xf>
    <xf numFmtId="0" fontId="13" fillId="0" borderId="0" xfId="4" applyFont="1"/>
    <xf numFmtId="0" fontId="1" fillId="0" borderId="1" xfId="4" applyBorder="1" applyAlignment="1">
      <alignment horizontal="center"/>
    </xf>
    <xf numFmtId="0" fontId="1" fillId="0" borderId="0" xfId="4" applyAlignment="1">
      <alignment horizontal="center"/>
    </xf>
    <xf numFmtId="0" fontId="1" fillId="4" borderId="1" xfId="4" applyFill="1" applyBorder="1"/>
    <xf numFmtId="0" fontId="6" fillId="4" borderId="1" xfId="1" applyFont="1" applyFill="1" applyBorder="1" applyAlignment="1">
      <alignment vertical="top" wrapText="1"/>
    </xf>
    <xf numFmtId="0" fontId="14" fillId="0" borderId="10" xfId="1" applyFont="1" applyFill="1" applyBorder="1" applyAlignment="1">
      <alignment vertical="top" wrapText="1"/>
    </xf>
    <xf numFmtId="0" fontId="3" fillId="0" borderId="1" xfId="1" applyFont="1" applyFill="1" applyBorder="1" applyAlignment="1">
      <alignment vertical="top" wrapText="1"/>
    </xf>
    <xf numFmtId="0" fontId="4" fillId="0" borderId="1" xfId="1" applyFont="1" applyFill="1" applyBorder="1" applyAlignment="1">
      <alignment horizontal="left" vertical="top" wrapText="1"/>
    </xf>
    <xf numFmtId="0" fontId="1" fillId="0" borderId="1" xfId="4" applyBorder="1" applyAlignment="1">
      <alignment horizontal="center" vertical="center"/>
    </xf>
    <xf numFmtId="0" fontId="1" fillId="0" borderId="11" xfId="4" applyBorder="1" applyAlignment="1">
      <alignment horizontal="center" vertical="center"/>
    </xf>
    <xf numFmtId="0" fontId="1" fillId="0" borderId="13" xfId="4" applyBorder="1" applyAlignment="1">
      <alignment horizontal="center" vertical="center"/>
    </xf>
    <xf numFmtId="0" fontId="1" fillId="0" borderId="12" xfId="4" applyBorder="1" applyAlignment="1">
      <alignment horizontal="center" vertical="center"/>
    </xf>
    <xf numFmtId="0" fontId="3" fillId="6" borderId="4" xfId="1" applyFont="1" applyFill="1" applyBorder="1" applyAlignment="1">
      <alignment vertical="top" wrapText="1"/>
    </xf>
    <xf numFmtId="0" fontId="3" fillId="6" borderId="3" xfId="1" applyFont="1" applyFill="1" applyBorder="1" applyAlignment="1">
      <alignment vertical="top" wrapText="1"/>
    </xf>
    <xf numFmtId="0" fontId="3" fillId="6" borderId="2" xfId="1" applyFont="1" applyFill="1" applyBorder="1" applyAlignment="1">
      <alignment vertical="top" wrapText="1"/>
    </xf>
    <xf numFmtId="0" fontId="6" fillId="0" borderId="0" xfId="5">
      <alignment vertical="center"/>
    </xf>
    <xf numFmtId="0" fontId="6" fillId="0" borderId="1" xfId="5" applyBorder="1">
      <alignment vertical="center"/>
    </xf>
    <xf numFmtId="0" fontId="6" fillId="0" borderId="1" xfId="5" applyFont="1" applyBorder="1">
      <alignment vertical="center"/>
    </xf>
    <xf numFmtId="177" fontId="6" fillId="0" borderId="1" xfId="5" applyNumberFormat="1" applyBorder="1" applyAlignment="1"/>
    <xf numFmtId="0" fontId="17" fillId="0" borderId="1" xfId="5" applyFont="1" applyBorder="1">
      <alignment vertical="center"/>
    </xf>
    <xf numFmtId="0" fontId="6" fillId="0" borderId="0" xfId="5" applyBorder="1">
      <alignment vertical="center"/>
    </xf>
    <xf numFmtId="0" fontId="6" fillId="5" borderId="1" xfId="5" applyFill="1" applyBorder="1">
      <alignment vertical="center"/>
    </xf>
    <xf numFmtId="0" fontId="6" fillId="5" borderId="1" xfId="5" applyFont="1" applyFill="1" applyBorder="1">
      <alignment vertical="center"/>
    </xf>
  </cellXfs>
  <cellStyles count="6">
    <cellStyle name="Normal 2" xfId="1"/>
    <cellStyle name="Normal 3" xfId="3"/>
    <cellStyle name="Normal 4" xfId="4"/>
    <cellStyle name="標準" xfId="0" builtinId="0"/>
    <cellStyle name="標準 2" xfId="2"/>
    <cellStyle name="標準 3"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2</xdr:col>
      <xdr:colOff>1540677</xdr:colOff>
      <xdr:row>32</xdr:row>
      <xdr:rowOff>131072</xdr:rowOff>
    </xdr:to>
    <xdr:pic>
      <xdr:nvPicPr>
        <xdr:cNvPr id="2" name="図 1"/>
        <xdr:cNvPicPr>
          <a:picLocks noChangeAspect="1"/>
        </xdr:cNvPicPr>
      </xdr:nvPicPr>
      <xdr:blipFill>
        <a:blip xmlns:r="http://schemas.openxmlformats.org/officeDocument/2006/relationships" r:embed="rId1"/>
        <a:stretch>
          <a:fillRect/>
        </a:stretch>
      </xdr:blipFill>
      <xdr:spPr>
        <a:xfrm>
          <a:off x="0" y="2514600"/>
          <a:ext cx="3742857" cy="2980952"/>
        </a:xfrm>
        <a:prstGeom prst="rect">
          <a:avLst/>
        </a:prstGeom>
      </xdr:spPr>
    </xdr:pic>
    <xdr:clientData/>
  </xdr:twoCellAnchor>
  <xdr:twoCellAnchor>
    <xdr:from>
      <xdr:col>0</xdr:col>
      <xdr:colOff>365760</xdr:colOff>
      <xdr:row>32</xdr:row>
      <xdr:rowOff>152400</xdr:rowOff>
    </xdr:from>
    <xdr:to>
      <xdr:col>5</xdr:col>
      <xdr:colOff>0</xdr:colOff>
      <xdr:row>48</xdr:row>
      <xdr:rowOff>22860</xdr:rowOff>
    </xdr:to>
    <xdr:sp macro="" textlink="">
      <xdr:nvSpPr>
        <xdr:cNvPr id="3" name="正方形/長方形 2"/>
        <xdr:cNvSpPr/>
      </xdr:nvSpPr>
      <xdr:spPr>
        <a:xfrm>
          <a:off x="365760" y="5516880"/>
          <a:ext cx="3406140" cy="255270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rgbClr val="FF0000"/>
              </a:solidFill>
            </a:rPr>
            <a:t>&lt;Add Metrics&gt;</a:t>
          </a:r>
        </a:p>
        <a:p>
          <a:pPr algn="l"/>
          <a:endParaRPr kumimoji="1" lang="en-US" altLang="ja-JP" sz="1100">
            <a:solidFill>
              <a:schemeClr val="tx1"/>
            </a:solidFill>
          </a:endParaRPr>
        </a:p>
        <a:p>
          <a:pPr algn="l"/>
          <a:r>
            <a:rPr kumimoji="1" lang="en-US" altLang="ja-JP" sz="1100">
              <a:solidFill>
                <a:schemeClr val="tx1"/>
              </a:solidFill>
            </a:rPr>
            <a:t>02_#_of_Activity_daily</a:t>
          </a:r>
        </a:p>
        <a:p>
          <a:pPr algn="l"/>
          <a:r>
            <a:rPr kumimoji="1" lang="en-US" altLang="ja-JP" sz="1100">
              <a:solidFill>
                <a:schemeClr val="tx1"/>
              </a:solidFill>
            </a:rPr>
            <a:t> </a:t>
          </a:r>
          <a:r>
            <a:rPr kumimoji="1" lang="en-US" altLang="ja-JP" sz="1100" baseline="0">
              <a:solidFill>
                <a:schemeClr val="tx1"/>
              </a:solidFill>
            </a:rPr>
            <a:t>     # of Detail_daily</a:t>
          </a:r>
        </a:p>
        <a:p>
          <a:pPr algn="l"/>
          <a:r>
            <a:rPr kumimoji="1" lang="en-US" altLang="ja-JP" sz="1100">
              <a:solidFill>
                <a:schemeClr val="tx1"/>
              </a:solidFill>
            </a:rPr>
            <a:t>      #_of_Appointment_Detail_daily  </a:t>
          </a:r>
        </a:p>
        <a:p>
          <a:pPr algn="l"/>
          <a:r>
            <a:rPr kumimoji="1" lang="en-US" altLang="ja-JP" sz="1100">
              <a:solidFill>
                <a:schemeClr val="tx1"/>
              </a:solidFill>
            </a:rPr>
            <a:t>      #_of_Approved_Email_daily</a:t>
          </a:r>
        </a:p>
        <a:p>
          <a:pPr algn="l"/>
          <a:r>
            <a:rPr kumimoji="1" lang="en-US" altLang="ja-JP" sz="1100">
              <a:solidFill>
                <a:schemeClr val="tx1"/>
              </a:solidFill>
            </a:rPr>
            <a:t>      #_of_Detail_with_Covist_daily</a:t>
          </a:r>
        </a:p>
        <a:p>
          <a:pPr algn="l"/>
          <a:r>
            <a:rPr kumimoji="1" lang="en-US" altLang="ja-JP" sz="1100">
              <a:solidFill>
                <a:schemeClr val="tx1"/>
              </a:solidFill>
            </a:rPr>
            <a:t>      #_of_Detail_with_IVA_daily</a:t>
          </a:r>
        </a:p>
        <a:p>
          <a:pPr algn="l"/>
          <a:r>
            <a:rPr kumimoji="1" lang="en-US" altLang="ja-JP" sz="1100">
              <a:solidFill>
                <a:schemeClr val="tx1"/>
              </a:solidFill>
            </a:rPr>
            <a:t>      #_of_ExMeeting_deaily</a:t>
          </a:r>
        </a:p>
        <a:p>
          <a:pPr algn="l"/>
          <a:r>
            <a:rPr kumimoji="1" lang="en-US" altLang="ja-JP" sz="1100">
              <a:solidFill>
                <a:schemeClr val="tx1"/>
              </a:solidFill>
            </a:rPr>
            <a:t>      #_of_P2P_detail</a:t>
          </a:r>
        </a:p>
        <a:p>
          <a:pPr algn="l"/>
          <a:r>
            <a:rPr kumimoji="1" lang="en-US" altLang="ja-JP" sz="1100">
              <a:solidFill>
                <a:schemeClr val="tx1"/>
              </a:solidFill>
            </a:rPr>
            <a:t>      #_of_Web_Seminar_detail</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 of Planned_daily</a:t>
          </a:r>
          <a:endParaRPr lang="ja-JP" altLang="ja-JP">
            <a:effectLst/>
          </a:endParaRPr>
        </a:p>
        <a:p>
          <a:pPr algn="l"/>
          <a:endParaRPr kumimoji="1" lang="en-US" altLang="ja-JP" sz="1100">
            <a:solidFill>
              <a:schemeClr val="tx1"/>
            </a:solidFill>
          </a:endParaRPr>
        </a:p>
        <a:p>
          <a:pPr algn="l"/>
          <a:endParaRPr kumimoji="1" lang="ja-JP" altLang="en-US" sz="1100">
            <a:solidFill>
              <a:schemeClr val="tx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7"/>
  <sheetViews>
    <sheetView showGridLines="0" workbookViewId="0">
      <selection activeCell="B6" sqref="B6:E6"/>
    </sheetView>
  </sheetViews>
  <sheetFormatPr defaultColWidth="9.09765625" defaultRowHeight="13.2" x14ac:dyDescent="0.45"/>
  <cols>
    <col min="1" max="1" width="1.69921875" style="1" customWidth="1"/>
    <col min="2" max="5" width="30.69921875" style="1" customWidth="1"/>
    <col min="6" max="6" width="43.3984375" style="1" customWidth="1"/>
    <col min="7" max="16384" width="9.09765625" style="1"/>
  </cols>
  <sheetData>
    <row r="2" spans="2:6" x14ac:dyDescent="0.45">
      <c r="B2" s="3" t="s">
        <v>7</v>
      </c>
      <c r="C2" s="8" t="s">
        <v>49</v>
      </c>
      <c r="D2" s="3" t="s">
        <v>6</v>
      </c>
      <c r="E2" s="28" t="s">
        <v>8</v>
      </c>
    </row>
    <row r="3" spans="2:6" x14ac:dyDescent="0.45">
      <c r="B3" s="3" t="s">
        <v>5</v>
      </c>
      <c r="C3" s="8" t="s">
        <v>14</v>
      </c>
      <c r="D3" s="3" t="s">
        <v>4</v>
      </c>
      <c r="E3" s="7">
        <v>44013</v>
      </c>
    </row>
    <row r="4" spans="2:6" ht="30.3" customHeight="1" x14ac:dyDescent="0.45">
      <c r="B4" s="3" t="s">
        <v>3</v>
      </c>
      <c r="C4" s="30" t="s">
        <v>48</v>
      </c>
      <c r="D4" s="30"/>
      <c r="E4" s="30"/>
    </row>
    <row r="5" spans="2:6" x14ac:dyDescent="0.45">
      <c r="B5" s="6" t="s">
        <v>2</v>
      </c>
      <c r="C5" s="5"/>
      <c r="D5" s="5"/>
      <c r="E5" s="4"/>
    </row>
    <row r="6" spans="2:6" ht="216" customHeight="1" x14ac:dyDescent="0.45">
      <c r="B6" s="36" t="s">
        <v>52</v>
      </c>
      <c r="C6" s="37"/>
      <c r="D6" s="37"/>
      <c r="E6" s="38"/>
    </row>
    <row r="7" spans="2:6" x14ac:dyDescent="0.45">
      <c r="B7" s="3" t="s">
        <v>1</v>
      </c>
      <c r="C7" s="31" t="s">
        <v>0</v>
      </c>
      <c r="D7" s="31"/>
      <c r="E7" s="31"/>
      <c r="F7" s="2"/>
    </row>
  </sheetData>
  <mergeCells count="3">
    <mergeCell ref="C4:E4"/>
    <mergeCell ref="C7:E7"/>
    <mergeCell ref="B6:E6"/>
  </mergeCells>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4"/>
  <sheetViews>
    <sheetView showGridLines="0" tabSelected="1" zoomScaleNormal="100" workbookViewId="0">
      <pane ySplit="1" topLeftCell="A2" activePane="bottomLeft" state="frozen"/>
      <selection pane="bottomLeft" activeCell="D4" sqref="D4"/>
    </sheetView>
  </sheetViews>
  <sheetFormatPr defaultColWidth="9.09765625" defaultRowHeight="11.4" x14ac:dyDescent="0.45"/>
  <cols>
    <col min="1" max="1" width="3.69921875" style="10" customWidth="1"/>
    <col min="2" max="4" width="25.69921875" style="10" customWidth="1"/>
    <col min="5" max="5" width="80.69921875" style="10" customWidth="1"/>
    <col min="6" max="6" width="9.09765625" style="10"/>
    <col min="7" max="7" width="72" style="10" customWidth="1"/>
    <col min="8" max="16384" width="9.09765625" style="10"/>
  </cols>
  <sheetData>
    <row r="1" spans="1:6" ht="12.6" thickBot="1" x14ac:dyDescent="0.5">
      <c r="A1" s="9" t="s">
        <v>9</v>
      </c>
      <c r="B1" s="9" t="s">
        <v>10</v>
      </c>
      <c r="C1" s="9" t="s">
        <v>11</v>
      </c>
      <c r="D1" s="9" t="s">
        <v>12</v>
      </c>
      <c r="E1" s="9" t="s">
        <v>13</v>
      </c>
    </row>
    <row r="2" spans="1:6" ht="186.6" customHeight="1" thickTop="1" x14ac:dyDescent="0.45">
      <c r="A2" s="11">
        <v>1</v>
      </c>
      <c r="B2" s="12" t="str">
        <f ca="1">IF($C2="","",INDIRECT("'CR_Summary'!E2")&amp;"_REQ_"&amp;TEXT($A2,"000"))</f>
        <v>DMND0000000_REQ_001</v>
      </c>
      <c r="C2" s="13" t="s">
        <v>53</v>
      </c>
      <c r="D2" s="13"/>
      <c r="E2" s="14" t="s">
        <v>66</v>
      </c>
      <c r="F2" s="15"/>
    </row>
    <row r="3" spans="1:6" ht="25.8" customHeight="1" x14ac:dyDescent="0.45">
      <c r="A3" s="16">
        <f>A2+1</f>
        <v>2</v>
      </c>
      <c r="B3" s="17" t="str">
        <f ca="1">IF($C3="","",INDIRECT("'CR_Summary'!E2")&amp;"_REQ_"&amp;TEXT($A3,"000"))</f>
        <v>DMND0000000_REQ_002</v>
      </c>
      <c r="C3" s="18" t="s">
        <v>53</v>
      </c>
      <c r="D3" s="18"/>
      <c r="E3" s="29" t="s">
        <v>67</v>
      </c>
      <c r="F3" s="15"/>
    </row>
    <row r="4" spans="1:6" ht="114" x14ac:dyDescent="0.45">
      <c r="A4" s="16">
        <f t="shared" ref="A4:A67" si="0">A3+1</f>
        <v>3</v>
      </c>
      <c r="B4" s="17" t="str">
        <f t="shared" ref="B4:B94" ca="1" si="1">IF($C4="","",INDIRECT("'CR_Summary'!E2")&amp;"_REQ_"&amp;TEXT($A4,"000"))</f>
        <v>DMND0000000_REQ_003</v>
      </c>
      <c r="C4" s="18" t="s">
        <v>49</v>
      </c>
      <c r="D4" s="18"/>
      <c r="E4" s="19" t="s">
        <v>71</v>
      </c>
    </row>
    <row r="5" spans="1:6" x14ac:dyDescent="0.45">
      <c r="A5" s="16">
        <f t="shared" si="0"/>
        <v>4</v>
      </c>
      <c r="B5" s="17" t="str">
        <f t="shared" ca="1" si="1"/>
        <v/>
      </c>
      <c r="C5" s="18"/>
      <c r="D5" s="18"/>
      <c r="E5" s="29"/>
    </row>
    <row r="6" spans="1:6" x14ac:dyDescent="0.45">
      <c r="A6" s="16">
        <f t="shared" si="0"/>
        <v>5</v>
      </c>
      <c r="B6" s="17" t="str">
        <f t="shared" ca="1" si="1"/>
        <v/>
      </c>
      <c r="C6" s="18"/>
      <c r="D6" s="18"/>
      <c r="E6" s="19"/>
    </row>
    <row r="7" spans="1:6" x14ac:dyDescent="0.45">
      <c r="A7" s="16">
        <f t="shared" si="0"/>
        <v>6</v>
      </c>
      <c r="B7" s="17" t="str">
        <f t="shared" ca="1" si="1"/>
        <v/>
      </c>
      <c r="C7" s="18"/>
      <c r="D7" s="18"/>
      <c r="E7" s="29"/>
    </row>
    <row r="8" spans="1:6" x14ac:dyDescent="0.45">
      <c r="A8" s="16">
        <f t="shared" si="0"/>
        <v>7</v>
      </c>
      <c r="B8" s="17" t="str">
        <f t="shared" ca="1" si="1"/>
        <v/>
      </c>
      <c r="C8" s="18"/>
      <c r="D8" s="18"/>
      <c r="E8" s="19"/>
    </row>
    <row r="9" spans="1:6" x14ac:dyDescent="0.45">
      <c r="A9" s="16">
        <f t="shared" si="0"/>
        <v>8</v>
      </c>
      <c r="B9" s="17" t="str">
        <f t="shared" ca="1" si="1"/>
        <v/>
      </c>
      <c r="C9" s="18"/>
      <c r="D9" s="18"/>
      <c r="E9" s="29"/>
    </row>
    <row r="10" spans="1:6" x14ac:dyDescent="0.45">
      <c r="A10" s="16">
        <f t="shared" si="0"/>
        <v>9</v>
      </c>
      <c r="B10" s="17" t="str">
        <f t="shared" ca="1" si="1"/>
        <v/>
      </c>
      <c r="C10" s="18"/>
      <c r="D10" s="18"/>
      <c r="E10" s="19"/>
    </row>
    <row r="11" spans="1:6" x14ac:dyDescent="0.45">
      <c r="A11" s="16">
        <f t="shared" si="0"/>
        <v>10</v>
      </c>
      <c r="B11" s="17" t="str">
        <f t="shared" ca="1" si="1"/>
        <v/>
      </c>
      <c r="C11" s="18"/>
      <c r="D11" s="18"/>
      <c r="E11" s="29"/>
    </row>
    <row r="12" spans="1:6" x14ac:dyDescent="0.45">
      <c r="A12" s="16">
        <f t="shared" si="0"/>
        <v>11</v>
      </c>
      <c r="B12" s="17" t="str">
        <f t="shared" ca="1" si="1"/>
        <v/>
      </c>
      <c r="C12" s="18"/>
      <c r="D12" s="18"/>
      <c r="E12" s="19"/>
    </row>
    <row r="13" spans="1:6" x14ac:dyDescent="0.45">
      <c r="A13" s="16">
        <f t="shared" si="0"/>
        <v>12</v>
      </c>
      <c r="B13" s="17" t="str">
        <f t="shared" ca="1" si="1"/>
        <v/>
      </c>
      <c r="C13" s="18"/>
      <c r="D13" s="18"/>
      <c r="E13" s="29"/>
    </row>
    <row r="14" spans="1:6" x14ac:dyDescent="0.45">
      <c r="A14" s="16">
        <f t="shared" si="0"/>
        <v>13</v>
      </c>
      <c r="B14" s="17" t="str">
        <f t="shared" ca="1" si="1"/>
        <v/>
      </c>
      <c r="C14" s="18"/>
      <c r="D14" s="18"/>
      <c r="E14" s="19"/>
    </row>
    <row r="15" spans="1:6" x14ac:dyDescent="0.45">
      <c r="A15" s="16">
        <f t="shared" si="0"/>
        <v>14</v>
      </c>
      <c r="B15" s="17" t="str">
        <f t="shared" ca="1" si="1"/>
        <v/>
      </c>
      <c r="C15" s="18"/>
      <c r="D15" s="18"/>
      <c r="E15" s="29"/>
    </row>
    <row r="16" spans="1:6" x14ac:dyDescent="0.45">
      <c r="A16" s="16">
        <f t="shared" si="0"/>
        <v>15</v>
      </c>
      <c r="B16" s="17" t="str">
        <f t="shared" ca="1" si="1"/>
        <v/>
      </c>
      <c r="C16" s="18"/>
      <c r="D16" s="18"/>
      <c r="E16" s="19"/>
    </row>
    <row r="17" spans="1:5" x14ac:dyDescent="0.45">
      <c r="A17" s="16">
        <f t="shared" si="0"/>
        <v>16</v>
      </c>
      <c r="B17" s="17" t="str">
        <f t="shared" ca="1" si="1"/>
        <v/>
      </c>
      <c r="C17" s="18"/>
      <c r="D17" s="18"/>
      <c r="E17" s="29"/>
    </row>
    <row r="18" spans="1:5" x14ac:dyDescent="0.45">
      <c r="A18" s="16">
        <f t="shared" si="0"/>
        <v>17</v>
      </c>
      <c r="B18" s="17" t="str">
        <f t="shared" ca="1" si="1"/>
        <v/>
      </c>
      <c r="C18" s="18"/>
      <c r="D18" s="18"/>
      <c r="E18" s="19"/>
    </row>
    <row r="19" spans="1:5" x14ac:dyDescent="0.45">
      <c r="A19" s="16">
        <f t="shared" si="0"/>
        <v>18</v>
      </c>
      <c r="B19" s="17" t="str">
        <f t="shared" ca="1" si="1"/>
        <v/>
      </c>
      <c r="C19" s="18"/>
      <c r="D19" s="18"/>
      <c r="E19" s="29"/>
    </row>
    <row r="20" spans="1:5" x14ac:dyDescent="0.45">
      <c r="A20" s="16">
        <f t="shared" si="0"/>
        <v>19</v>
      </c>
      <c r="B20" s="17" t="str">
        <f t="shared" ca="1" si="1"/>
        <v/>
      </c>
      <c r="C20" s="18"/>
      <c r="D20" s="18"/>
      <c r="E20" s="19"/>
    </row>
    <row r="21" spans="1:5" x14ac:dyDescent="0.45">
      <c r="A21" s="16">
        <f t="shared" si="0"/>
        <v>20</v>
      </c>
      <c r="B21" s="17" t="str">
        <f t="shared" ca="1" si="1"/>
        <v/>
      </c>
      <c r="C21" s="18"/>
      <c r="D21" s="18"/>
      <c r="E21" s="29"/>
    </row>
    <row r="22" spans="1:5" x14ac:dyDescent="0.45">
      <c r="A22" s="16">
        <f t="shared" si="0"/>
        <v>21</v>
      </c>
      <c r="B22" s="17" t="str">
        <f t="shared" ca="1" si="1"/>
        <v/>
      </c>
      <c r="C22" s="18"/>
      <c r="D22" s="18"/>
      <c r="E22" s="19"/>
    </row>
    <row r="23" spans="1:5" x14ac:dyDescent="0.45">
      <c r="A23" s="16">
        <f t="shared" si="0"/>
        <v>22</v>
      </c>
      <c r="B23" s="17" t="str">
        <f t="shared" ca="1" si="1"/>
        <v/>
      </c>
      <c r="C23" s="18"/>
      <c r="D23" s="18"/>
      <c r="E23" s="29"/>
    </row>
    <row r="24" spans="1:5" x14ac:dyDescent="0.45">
      <c r="A24" s="16">
        <f t="shared" si="0"/>
        <v>23</v>
      </c>
      <c r="B24" s="17" t="str">
        <f t="shared" ca="1" si="1"/>
        <v/>
      </c>
      <c r="C24" s="18"/>
      <c r="D24" s="18"/>
      <c r="E24" s="19"/>
    </row>
    <row r="25" spans="1:5" x14ac:dyDescent="0.45">
      <c r="A25" s="16">
        <f t="shared" si="0"/>
        <v>24</v>
      </c>
      <c r="B25" s="17" t="str">
        <f t="shared" ca="1" si="1"/>
        <v/>
      </c>
      <c r="C25" s="18"/>
      <c r="D25" s="18"/>
      <c r="E25" s="19"/>
    </row>
    <row r="26" spans="1:5" x14ac:dyDescent="0.45">
      <c r="A26" s="16">
        <f t="shared" si="0"/>
        <v>25</v>
      </c>
      <c r="B26" s="17" t="str">
        <f t="shared" ca="1" si="1"/>
        <v/>
      </c>
      <c r="C26" s="18"/>
      <c r="D26" s="18"/>
      <c r="E26" s="29"/>
    </row>
    <row r="27" spans="1:5" x14ac:dyDescent="0.45">
      <c r="A27" s="16">
        <f t="shared" si="0"/>
        <v>26</v>
      </c>
      <c r="B27" s="17" t="str">
        <f t="shared" ca="1" si="1"/>
        <v/>
      </c>
      <c r="C27" s="18"/>
      <c r="D27" s="18"/>
      <c r="E27" s="19"/>
    </row>
    <row r="28" spans="1:5" x14ac:dyDescent="0.45">
      <c r="A28" s="16">
        <f t="shared" si="0"/>
        <v>27</v>
      </c>
      <c r="B28" s="17" t="str">
        <f t="shared" ca="1" si="1"/>
        <v/>
      </c>
      <c r="C28" s="18"/>
      <c r="D28" s="18"/>
      <c r="E28" s="29"/>
    </row>
    <row r="29" spans="1:5" x14ac:dyDescent="0.45">
      <c r="A29" s="16">
        <f t="shared" si="0"/>
        <v>28</v>
      </c>
      <c r="B29" s="17" t="str">
        <f t="shared" ca="1" si="1"/>
        <v/>
      </c>
      <c r="C29" s="18"/>
      <c r="D29" s="18"/>
      <c r="E29" s="19"/>
    </row>
    <row r="30" spans="1:5" x14ac:dyDescent="0.45">
      <c r="A30" s="16">
        <f t="shared" si="0"/>
        <v>29</v>
      </c>
      <c r="B30" s="17" t="str">
        <f t="shared" ca="1" si="1"/>
        <v/>
      </c>
      <c r="C30" s="18"/>
      <c r="D30" s="18"/>
      <c r="E30" s="29"/>
    </row>
    <row r="31" spans="1:5" x14ac:dyDescent="0.45">
      <c r="A31" s="16">
        <f t="shared" si="0"/>
        <v>30</v>
      </c>
      <c r="B31" s="17" t="str">
        <f t="shared" ca="1" si="1"/>
        <v/>
      </c>
      <c r="C31" s="18"/>
      <c r="D31" s="18"/>
      <c r="E31" s="19"/>
    </row>
    <row r="32" spans="1:5" x14ac:dyDescent="0.45">
      <c r="A32" s="16">
        <f t="shared" si="0"/>
        <v>31</v>
      </c>
      <c r="B32" s="17" t="str">
        <f t="shared" ca="1" si="1"/>
        <v/>
      </c>
      <c r="C32" s="18"/>
      <c r="D32" s="18"/>
      <c r="E32" s="29"/>
    </row>
    <row r="33" spans="1:5" x14ac:dyDescent="0.45">
      <c r="A33" s="16">
        <f t="shared" si="0"/>
        <v>32</v>
      </c>
      <c r="B33" s="17" t="str">
        <f t="shared" ca="1" si="1"/>
        <v/>
      </c>
      <c r="C33" s="18"/>
      <c r="D33" s="18"/>
      <c r="E33" s="19"/>
    </row>
    <row r="34" spans="1:5" x14ac:dyDescent="0.45">
      <c r="A34" s="16">
        <f t="shared" si="0"/>
        <v>33</v>
      </c>
      <c r="B34" s="17" t="str">
        <f t="shared" ca="1" si="1"/>
        <v/>
      </c>
      <c r="C34" s="18"/>
      <c r="D34" s="18"/>
      <c r="E34" s="29"/>
    </row>
    <row r="35" spans="1:5" x14ac:dyDescent="0.45">
      <c r="A35" s="16">
        <f t="shared" si="0"/>
        <v>34</v>
      </c>
      <c r="B35" s="17" t="str">
        <f t="shared" ca="1" si="1"/>
        <v/>
      </c>
      <c r="C35" s="18"/>
      <c r="D35" s="18"/>
      <c r="E35" s="19"/>
    </row>
    <row r="36" spans="1:5" x14ac:dyDescent="0.45">
      <c r="A36" s="16">
        <f t="shared" si="0"/>
        <v>35</v>
      </c>
      <c r="B36" s="17" t="str">
        <f t="shared" ca="1" si="1"/>
        <v/>
      </c>
      <c r="C36" s="18"/>
      <c r="D36" s="18"/>
      <c r="E36" s="29"/>
    </row>
    <row r="37" spans="1:5" x14ac:dyDescent="0.45">
      <c r="A37" s="16">
        <f t="shared" si="0"/>
        <v>36</v>
      </c>
      <c r="B37" s="17" t="str">
        <f t="shared" ca="1" si="1"/>
        <v/>
      </c>
      <c r="C37" s="18"/>
      <c r="D37" s="18"/>
      <c r="E37" s="19"/>
    </row>
    <row r="38" spans="1:5" x14ac:dyDescent="0.45">
      <c r="A38" s="16">
        <f t="shared" si="0"/>
        <v>37</v>
      </c>
      <c r="B38" s="17" t="str">
        <f t="shared" ca="1" si="1"/>
        <v/>
      </c>
      <c r="C38" s="18"/>
      <c r="D38" s="18"/>
      <c r="E38" s="29"/>
    </row>
    <row r="39" spans="1:5" x14ac:dyDescent="0.45">
      <c r="A39" s="16">
        <f t="shared" si="0"/>
        <v>38</v>
      </c>
      <c r="B39" s="17" t="str">
        <f t="shared" ca="1" si="1"/>
        <v/>
      </c>
      <c r="C39" s="18"/>
      <c r="D39" s="18"/>
      <c r="E39" s="19"/>
    </row>
    <row r="40" spans="1:5" x14ac:dyDescent="0.45">
      <c r="A40" s="16">
        <f t="shared" si="0"/>
        <v>39</v>
      </c>
      <c r="B40" s="17" t="str">
        <f t="shared" ca="1" si="1"/>
        <v/>
      </c>
      <c r="C40" s="18"/>
      <c r="D40" s="18"/>
      <c r="E40" s="29"/>
    </row>
    <row r="41" spans="1:5" x14ac:dyDescent="0.45">
      <c r="A41" s="16">
        <f t="shared" si="0"/>
        <v>40</v>
      </c>
      <c r="B41" s="17" t="str">
        <f t="shared" ca="1" si="1"/>
        <v/>
      </c>
      <c r="C41" s="18"/>
      <c r="D41" s="18"/>
      <c r="E41" s="19"/>
    </row>
    <row r="42" spans="1:5" x14ac:dyDescent="0.45">
      <c r="A42" s="16">
        <f t="shared" si="0"/>
        <v>41</v>
      </c>
      <c r="B42" s="17" t="str">
        <f t="shared" ca="1" si="1"/>
        <v/>
      </c>
      <c r="C42" s="18"/>
      <c r="D42" s="18"/>
      <c r="E42" s="29"/>
    </row>
    <row r="43" spans="1:5" x14ac:dyDescent="0.45">
      <c r="A43" s="16">
        <f t="shared" si="0"/>
        <v>42</v>
      </c>
      <c r="B43" s="17" t="str">
        <f t="shared" ca="1" si="1"/>
        <v/>
      </c>
      <c r="C43" s="18"/>
      <c r="D43" s="18"/>
      <c r="E43" s="19"/>
    </row>
    <row r="44" spans="1:5" x14ac:dyDescent="0.45">
      <c r="A44" s="16">
        <f t="shared" si="0"/>
        <v>43</v>
      </c>
      <c r="B44" s="17" t="str">
        <f t="shared" ca="1" si="1"/>
        <v/>
      </c>
      <c r="C44" s="18"/>
      <c r="D44" s="18"/>
      <c r="E44" s="29"/>
    </row>
    <row r="45" spans="1:5" x14ac:dyDescent="0.45">
      <c r="A45" s="16">
        <f t="shared" si="0"/>
        <v>44</v>
      </c>
      <c r="B45" s="17" t="str">
        <f t="shared" ca="1" si="1"/>
        <v/>
      </c>
      <c r="C45" s="18"/>
      <c r="D45" s="18"/>
      <c r="E45" s="19"/>
    </row>
    <row r="46" spans="1:5" x14ac:dyDescent="0.45">
      <c r="A46" s="16">
        <f t="shared" si="0"/>
        <v>45</v>
      </c>
      <c r="B46" s="17" t="str">
        <f t="shared" ca="1" si="1"/>
        <v/>
      </c>
      <c r="C46" s="18"/>
      <c r="D46" s="18"/>
      <c r="E46" s="29"/>
    </row>
    <row r="47" spans="1:5" x14ac:dyDescent="0.45">
      <c r="A47" s="16">
        <f t="shared" si="0"/>
        <v>46</v>
      </c>
      <c r="B47" s="17" t="str">
        <f t="shared" ca="1" si="1"/>
        <v/>
      </c>
      <c r="C47" s="18"/>
      <c r="D47" s="18"/>
      <c r="E47" s="19"/>
    </row>
    <row r="48" spans="1:5" x14ac:dyDescent="0.45">
      <c r="A48" s="16">
        <f t="shared" si="0"/>
        <v>47</v>
      </c>
      <c r="B48" s="17" t="str">
        <f t="shared" ca="1" si="1"/>
        <v/>
      </c>
      <c r="C48" s="18"/>
      <c r="D48" s="18"/>
      <c r="E48" s="29"/>
    </row>
    <row r="49" spans="1:5" x14ac:dyDescent="0.45">
      <c r="A49" s="16">
        <f t="shared" si="0"/>
        <v>48</v>
      </c>
      <c r="B49" s="17" t="str">
        <f t="shared" ca="1" si="1"/>
        <v/>
      </c>
      <c r="C49" s="18"/>
      <c r="D49" s="18"/>
      <c r="E49" s="19"/>
    </row>
    <row r="50" spans="1:5" x14ac:dyDescent="0.45">
      <c r="A50" s="16">
        <f t="shared" si="0"/>
        <v>49</v>
      </c>
      <c r="B50" s="17" t="str">
        <f t="shared" ca="1" si="1"/>
        <v/>
      </c>
      <c r="C50" s="18"/>
      <c r="D50" s="18"/>
      <c r="E50" s="29"/>
    </row>
    <row r="51" spans="1:5" x14ac:dyDescent="0.45">
      <c r="A51" s="16">
        <f t="shared" si="0"/>
        <v>50</v>
      </c>
      <c r="B51" s="17" t="str">
        <f t="shared" ca="1" si="1"/>
        <v/>
      </c>
      <c r="C51" s="18"/>
      <c r="D51" s="18"/>
      <c r="E51" s="19"/>
    </row>
    <row r="52" spans="1:5" x14ac:dyDescent="0.45">
      <c r="A52" s="16">
        <f t="shared" si="0"/>
        <v>51</v>
      </c>
      <c r="B52" s="17" t="str">
        <f t="shared" ca="1" si="1"/>
        <v/>
      </c>
      <c r="C52" s="18"/>
      <c r="D52" s="18"/>
      <c r="E52" s="29"/>
    </row>
    <row r="53" spans="1:5" x14ac:dyDescent="0.45">
      <c r="A53" s="16">
        <f t="shared" si="0"/>
        <v>52</v>
      </c>
      <c r="B53" s="17" t="str">
        <f t="shared" ca="1" si="1"/>
        <v/>
      </c>
      <c r="C53" s="18"/>
      <c r="D53" s="18"/>
      <c r="E53" s="19"/>
    </row>
    <row r="54" spans="1:5" x14ac:dyDescent="0.45">
      <c r="A54" s="16">
        <f t="shared" si="0"/>
        <v>53</v>
      </c>
      <c r="B54" s="17" t="str">
        <f t="shared" ca="1" si="1"/>
        <v/>
      </c>
      <c r="C54" s="18"/>
      <c r="D54" s="18"/>
      <c r="E54" s="29"/>
    </row>
    <row r="55" spans="1:5" x14ac:dyDescent="0.45">
      <c r="A55" s="16">
        <f t="shared" si="0"/>
        <v>54</v>
      </c>
      <c r="B55" s="17" t="str">
        <f t="shared" ca="1" si="1"/>
        <v/>
      </c>
      <c r="C55" s="18"/>
      <c r="D55" s="18"/>
      <c r="E55" s="19"/>
    </row>
    <row r="56" spans="1:5" x14ac:dyDescent="0.45">
      <c r="A56" s="16">
        <f t="shared" si="0"/>
        <v>55</v>
      </c>
      <c r="B56" s="17" t="str">
        <f t="shared" ca="1" si="1"/>
        <v/>
      </c>
      <c r="C56" s="18"/>
      <c r="D56" s="18"/>
      <c r="E56" s="29"/>
    </row>
    <row r="57" spans="1:5" x14ac:dyDescent="0.45">
      <c r="A57" s="16">
        <f t="shared" si="0"/>
        <v>56</v>
      </c>
      <c r="B57" s="17" t="str">
        <f t="shared" ca="1" si="1"/>
        <v/>
      </c>
      <c r="C57" s="18"/>
      <c r="D57" s="18"/>
      <c r="E57" s="19"/>
    </row>
    <row r="58" spans="1:5" x14ac:dyDescent="0.45">
      <c r="A58" s="16">
        <f t="shared" si="0"/>
        <v>57</v>
      </c>
      <c r="B58" s="17" t="str">
        <f t="shared" ca="1" si="1"/>
        <v/>
      </c>
      <c r="C58" s="18"/>
      <c r="D58" s="18"/>
      <c r="E58" s="29"/>
    </row>
    <row r="59" spans="1:5" x14ac:dyDescent="0.45">
      <c r="A59" s="16">
        <f t="shared" si="0"/>
        <v>58</v>
      </c>
      <c r="B59" s="17" t="str">
        <f t="shared" ca="1" si="1"/>
        <v/>
      </c>
      <c r="C59" s="18"/>
      <c r="D59" s="18"/>
      <c r="E59" s="19"/>
    </row>
    <row r="60" spans="1:5" x14ac:dyDescent="0.45">
      <c r="A60" s="16">
        <f t="shared" si="0"/>
        <v>59</v>
      </c>
      <c r="B60" s="17" t="str">
        <f t="shared" ca="1" si="1"/>
        <v/>
      </c>
      <c r="C60" s="18"/>
      <c r="D60" s="18"/>
      <c r="E60" s="29"/>
    </row>
    <row r="61" spans="1:5" x14ac:dyDescent="0.45">
      <c r="A61" s="16">
        <f t="shared" si="0"/>
        <v>60</v>
      </c>
      <c r="B61" s="17" t="str">
        <f t="shared" ca="1" si="1"/>
        <v/>
      </c>
      <c r="C61" s="18"/>
      <c r="D61" s="18"/>
      <c r="E61" s="19"/>
    </row>
    <row r="62" spans="1:5" ht="27" customHeight="1" x14ac:dyDescent="0.45">
      <c r="A62" s="16">
        <f t="shared" si="0"/>
        <v>61</v>
      </c>
      <c r="B62" s="17" t="str">
        <f t="shared" ca="1" si="1"/>
        <v/>
      </c>
      <c r="C62" s="18"/>
      <c r="D62" s="18"/>
      <c r="E62" s="19"/>
    </row>
    <row r="63" spans="1:5" x14ac:dyDescent="0.45">
      <c r="A63" s="16">
        <f t="shared" si="0"/>
        <v>62</v>
      </c>
      <c r="B63" s="17" t="str">
        <f t="shared" ca="1" si="1"/>
        <v/>
      </c>
      <c r="C63" s="18"/>
      <c r="D63" s="18"/>
      <c r="E63" s="20"/>
    </row>
    <row r="64" spans="1:5" x14ac:dyDescent="0.45">
      <c r="A64" s="16">
        <f t="shared" si="0"/>
        <v>63</v>
      </c>
      <c r="B64" s="17" t="str">
        <f t="shared" ca="1" si="1"/>
        <v/>
      </c>
      <c r="C64" s="18"/>
      <c r="D64" s="18"/>
      <c r="E64" s="20"/>
    </row>
    <row r="65" spans="1:5" x14ac:dyDescent="0.45">
      <c r="A65" s="16">
        <f t="shared" si="0"/>
        <v>64</v>
      </c>
      <c r="B65" s="17" t="str">
        <f t="shared" ca="1" si="1"/>
        <v/>
      </c>
      <c r="C65" s="18"/>
      <c r="D65" s="18"/>
      <c r="E65" s="20"/>
    </row>
    <row r="66" spans="1:5" x14ac:dyDescent="0.45">
      <c r="A66" s="16">
        <f t="shared" si="0"/>
        <v>65</v>
      </c>
      <c r="B66" s="17" t="str">
        <f t="shared" ca="1" si="1"/>
        <v/>
      </c>
      <c r="C66" s="18"/>
      <c r="D66" s="18"/>
      <c r="E66" s="19"/>
    </row>
    <row r="67" spans="1:5" x14ac:dyDescent="0.45">
      <c r="A67" s="16">
        <f t="shared" si="0"/>
        <v>66</v>
      </c>
      <c r="B67" s="17" t="str">
        <f t="shared" ca="1" si="1"/>
        <v/>
      </c>
      <c r="C67" s="18"/>
      <c r="D67" s="18"/>
      <c r="E67" s="19"/>
    </row>
    <row r="68" spans="1:5" x14ac:dyDescent="0.45">
      <c r="A68" s="16">
        <f t="shared" ref="A68:A131" si="2">A67+1</f>
        <v>67</v>
      </c>
      <c r="B68" s="17" t="str">
        <f t="shared" ca="1" si="1"/>
        <v/>
      </c>
      <c r="C68" s="18"/>
      <c r="D68" s="18"/>
      <c r="E68" s="19"/>
    </row>
    <row r="69" spans="1:5" x14ac:dyDescent="0.45">
      <c r="A69" s="16">
        <f t="shared" si="2"/>
        <v>68</v>
      </c>
      <c r="B69" s="17" t="str">
        <f t="shared" ca="1" si="1"/>
        <v/>
      </c>
      <c r="C69" s="18"/>
      <c r="D69" s="18"/>
      <c r="E69" s="19"/>
    </row>
    <row r="70" spans="1:5" x14ac:dyDescent="0.45">
      <c r="A70" s="16">
        <f t="shared" si="2"/>
        <v>69</v>
      </c>
      <c r="B70" s="17" t="str">
        <f t="shared" ca="1" si="1"/>
        <v/>
      </c>
      <c r="C70" s="18"/>
      <c r="D70" s="18"/>
      <c r="E70" s="19"/>
    </row>
    <row r="71" spans="1:5" x14ac:dyDescent="0.45">
      <c r="A71" s="16">
        <f t="shared" si="2"/>
        <v>70</v>
      </c>
      <c r="B71" s="17" t="str">
        <f t="shared" ca="1" si="1"/>
        <v/>
      </c>
      <c r="C71" s="18"/>
      <c r="D71" s="18"/>
      <c r="E71" s="19"/>
    </row>
    <row r="72" spans="1:5" x14ac:dyDescent="0.45">
      <c r="A72" s="16">
        <f t="shared" si="2"/>
        <v>71</v>
      </c>
      <c r="B72" s="17" t="str">
        <f t="shared" ca="1" si="1"/>
        <v/>
      </c>
      <c r="C72" s="18"/>
      <c r="D72" s="18"/>
      <c r="E72" s="19"/>
    </row>
    <row r="73" spans="1:5" x14ac:dyDescent="0.45">
      <c r="A73" s="16">
        <f t="shared" si="2"/>
        <v>72</v>
      </c>
      <c r="B73" s="17" t="str">
        <f t="shared" ca="1" si="1"/>
        <v/>
      </c>
      <c r="C73" s="18"/>
      <c r="D73" s="18"/>
      <c r="E73" s="19"/>
    </row>
    <row r="74" spans="1:5" x14ac:dyDescent="0.45">
      <c r="A74" s="16">
        <f t="shared" si="2"/>
        <v>73</v>
      </c>
      <c r="B74" s="17" t="str">
        <f t="shared" ca="1" si="1"/>
        <v/>
      </c>
      <c r="C74" s="18"/>
      <c r="D74" s="18"/>
      <c r="E74" s="19"/>
    </row>
    <row r="75" spans="1:5" x14ac:dyDescent="0.45">
      <c r="A75" s="16">
        <f t="shared" si="2"/>
        <v>74</v>
      </c>
      <c r="B75" s="17" t="str">
        <f t="shared" ca="1" si="1"/>
        <v/>
      </c>
      <c r="C75" s="18"/>
      <c r="D75" s="18"/>
      <c r="E75" s="19"/>
    </row>
    <row r="76" spans="1:5" x14ac:dyDescent="0.45">
      <c r="A76" s="16">
        <f t="shared" si="2"/>
        <v>75</v>
      </c>
      <c r="B76" s="17" t="str">
        <f t="shared" ca="1" si="1"/>
        <v/>
      </c>
      <c r="C76" s="18"/>
      <c r="D76" s="18"/>
      <c r="E76" s="19"/>
    </row>
    <row r="77" spans="1:5" x14ac:dyDescent="0.45">
      <c r="A77" s="16">
        <f t="shared" si="2"/>
        <v>76</v>
      </c>
      <c r="B77" s="17" t="str">
        <f t="shared" ca="1" si="1"/>
        <v/>
      </c>
      <c r="C77" s="18"/>
      <c r="D77" s="18"/>
      <c r="E77" s="19"/>
    </row>
    <row r="78" spans="1:5" x14ac:dyDescent="0.45">
      <c r="A78" s="16">
        <f t="shared" si="2"/>
        <v>77</v>
      </c>
      <c r="B78" s="17" t="str">
        <f t="shared" ca="1" si="1"/>
        <v/>
      </c>
      <c r="C78" s="18"/>
      <c r="D78" s="18"/>
      <c r="E78" s="20"/>
    </row>
    <row r="79" spans="1:5" x14ac:dyDescent="0.45">
      <c r="A79" s="16">
        <f t="shared" si="2"/>
        <v>78</v>
      </c>
      <c r="B79" s="17" t="str">
        <f t="shared" ca="1" si="1"/>
        <v/>
      </c>
      <c r="C79" s="18"/>
      <c r="D79" s="18"/>
      <c r="E79" s="20"/>
    </row>
    <row r="80" spans="1:5" x14ac:dyDescent="0.45">
      <c r="A80" s="16">
        <f t="shared" si="2"/>
        <v>79</v>
      </c>
      <c r="B80" s="17" t="str">
        <f t="shared" ca="1" si="1"/>
        <v/>
      </c>
      <c r="C80" s="18"/>
      <c r="D80" s="18"/>
      <c r="E80" s="20"/>
    </row>
    <row r="81" spans="1:6" x14ac:dyDescent="0.45">
      <c r="A81" s="16">
        <f t="shared" si="2"/>
        <v>80</v>
      </c>
      <c r="B81" s="17" t="str">
        <f t="shared" ca="1" si="1"/>
        <v/>
      </c>
      <c r="C81" s="18"/>
      <c r="D81" s="18"/>
      <c r="E81" s="19"/>
    </row>
    <row r="82" spans="1:6" x14ac:dyDescent="0.45">
      <c r="A82" s="16">
        <f t="shared" si="2"/>
        <v>81</v>
      </c>
      <c r="B82" s="17" t="str">
        <f t="shared" ca="1" si="1"/>
        <v/>
      </c>
      <c r="C82" s="18"/>
      <c r="D82" s="18"/>
      <c r="E82" s="19"/>
    </row>
    <row r="83" spans="1:6" x14ac:dyDescent="0.45">
      <c r="A83" s="16">
        <f t="shared" si="2"/>
        <v>82</v>
      </c>
      <c r="B83" s="17" t="str">
        <f t="shared" ca="1" si="1"/>
        <v/>
      </c>
      <c r="C83" s="18"/>
      <c r="D83" s="18"/>
      <c r="E83" s="19"/>
    </row>
    <row r="84" spans="1:6" x14ac:dyDescent="0.45">
      <c r="A84" s="16">
        <f t="shared" si="2"/>
        <v>83</v>
      </c>
      <c r="B84" s="17" t="str">
        <f t="shared" ca="1" si="1"/>
        <v/>
      </c>
      <c r="C84" s="18"/>
      <c r="D84" s="18"/>
      <c r="E84" s="19"/>
    </row>
    <row r="85" spans="1:6" x14ac:dyDescent="0.45">
      <c r="A85" s="16">
        <f t="shared" si="2"/>
        <v>84</v>
      </c>
      <c r="B85" s="17" t="str">
        <f t="shared" ca="1" si="1"/>
        <v/>
      </c>
      <c r="C85" s="18"/>
      <c r="D85" s="18"/>
      <c r="E85" s="19"/>
    </row>
    <row r="86" spans="1:6" x14ac:dyDescent="0.45">
      <c r="A86" s="16">
        <f t="shared" si="2"/>
        <v>85</v>
      </c>
      <c r="B86" s="17" t="str">
        <f t="shared" ca="1" si="1"/>
        <v/>
      </c>
      <c r="C86" s="18"/>
      <c r="D86" s="18"/>
      <c r="E86" s="19"/>
    </row>
    <row r="87" spans="1:6" x14ac:dyDescent="0.45">
      <c r="A87" s="16">
        <f t="shared" si="2"/>
        <v>86</v>
      </c>
      <c r="B87" s="17" t="str">
        <f t="shared" ca="1" si="1"/>
        <v/>
      </c>
      <c r="C87" s="18"/>
      <c r="D87" s="18"/>
      <c r="E87" s="19"/>
    </row>
    <row r="88" spans="1:6" x14ac:dyDescent="0.45">
      <c r="A88" s="16">
        <f t="shared" si="2"/>
        <v>87</v>
      </c>
      <c r="B88" s="17" t="str">
        <f t="shared" ca="1" si="1"/>
        <v/>
      </c>
      <c r="C88" s="18"/>
      <c r="D88" s="18"/>
      <c r="E88" s="19"/>
    </row>
    <row r="89" spans="1:6" x14ac:dyDescent="0.45">
      <c r="A89" s="16">
        <f t="shared" si="2"/>
        <v>88</v>
      </c>
      <c r="B89" s="17" t="str">
        <f t="shared" ca="1" si="1"/>
        <v/>
      </c>
      <c r="C89" s="18"/>
      <c r="D89" s="18"/>
      <c r="E89" s="19"/>
    </row>
    <row r="90" spans="1:6" x14ac:dyDescent="0.45">
      <c r="A90" s="16">
        <f t="shared" si="2"/>
        <v>89</v>
      </c>
      <c r="B90" s="17" t="str">
        <f t="shared" ca="1" si="1"/>
        <v/>
      </c>
      <c r="C90" s="18"/>
      <c r="D90" s="18"/>
      <c r="E90" s="19"/>
    </row>
    <row r="91" spans="1:6" x14ac:dyDescent="0.45">
      <c r="A91" s="16">
        <f t="shared" si="2"/>
        <v>90</v>
      </c>
      <c r="B91" s="17" t="str">
        <f t="shared" ca="1" si="1"/>
        <v/>
      </c>
      <c r="C91" s="18"/>
      <c r="D91" s="18"/>
      <c r="E91" s="19"/>
    </row>
    <row r="92" spans="1:6" x14ac:dyDescent="0.45">
      <c r="A92" s="16">
        <f t="shared" si="2"/>
        <v>91</v>
      </c>
      <c r="B92" s="17" t="str">
        <f t="shared" ca="1" si="1"/>
        <v/>
      </c>
      <c r="C92" s="18"/>
      <c r="D92" s="18"/>
      <c r="E92" s="19"/>
    </row>
    <row r="93" spans="1:6" x14ac:dyDescent="0.45">
      <c r="A93" s="16">
        <f t="shared" si="2"/>
        <v>92</v>
      </c>
      <c r="B93" s="17" t="str">
        <f t="shared" ca="1" si="1"/>
        <v/>
      </c>
      <c r="C93" s="18"/>
      <c r="D93" s="18"/>
      <c r="E93" s="20"/>
    </row>
    <row r="94" spans="1:6" x14ac:dyDescent="0.45">
      <c r="A94" s="16">
        <f t="shared" si="2"/>
        <v>93</v>
      </c>
      <c r="B94" s="17" t="str">
        <f t="shared" ca="1" si="1"/>
        <v/>
      </c>
      <c r="C94" s="18"/>
      <c r="D94" s="18"/>
      <c r="E94" s="20"/>
    </row>
    <row r="95" spans="1:6" x14ac:dyDescent="0.45">
      <c r="A95" s="16">
        <f t="shared" si="2"/>
        <v>94</v>
      </c>
      <c r="B95" s="17" t="str">
        <f t="shared" ref="B95:B134" ca="1" si="3">IF($C95="","",INDIRECT("'CR_Summary'!E2")&amp;"_REQ_"&amp;TEXT($A95,"000"))</f>
        <v/>
      </c>
      <c r="C95" s="18"/>
      <c r="D95" s="18"/>
      <c r="E95" s="20"/>
    </row>
    <row r="96" spans="1:6" x14ac:dyDescent="0.45">
      <c r="A96" s="16">
        <f t="shared" si="2"/>
        <v>95</v>
      </c>
      <c r="B96" s="17" t="str">
        <f t="shared" ca="1" si="3"/>
        <v/>
      </c>
      <c r="C96" s="18"/>
      <c r="D96" s="18"/>
      <c r="E96" s="19"/>
      <c r="F96" s="15"/>
    </row>
    <row r="97" spans="1:5" x14ac:dyDescent="0.45">
      <c r="A97" s="16">
        <f t="shared" si="2"/>
        <v>96</v>
      </c>
      <c r="B97" s="17" t="str">
        <f t="shared" ca="1" si="3"/>
        <v/>
      </c>
      <c r="C97" s="18"/>
      <c r="D97" s="18"/>
      <c r="E97" s="19"/>
    </row>
    <row r="98" spans="1:5" x14ac:dyDescent="0.45">
      <c r="A98" s="16">
        <f t="shared" si="2"/>
        <v>97</v>
      </c>
      <c r="B98" s="17" t="str">
        <f t="shared" ca="1" si="3"/>
        <v/>
      </c>
      <c r="C98" s="18"/>
      <c r="D98" s="18"/>
      <c r="E98" s="19"/>
    </row>
    <row r="99" spans="1:5" x14ac:dyDescent="0.45">
      <c r="A99" s="16">
        <f t="shared" si="2"/>
        <v>98</v>
      </c>
      <c r="B99" s="17" t="str">
        <f t="shared" ca="1" si="3"/>
        <v/>
      </c>
      <c r="C99" s="18"/>
      <c r="D99" s="18"/>
      <c r="E99" s="19"/>
    </row>
    <row r="100" spans="1:5" x14ac:dyDescent="0.45">
      <c r="A100" s="16">
        <f t="shared" si="2"/>
        <v>99</v>
      </c>
      <c r="B100" s="17" t="str">
        <f t="shared" ca="1" si="3"/>
        <v/>
      </c>
      <c r="C100" s="18"/>
      <c r="D100" s="18"/>
      <c r="E100" s="19"/>
    </row>
    <row r="101" spans="1:5" x14ac:dyDescent="0.45">
      <c r="A101" s="16">
        <f t="shared" si="2"/>
        <v>100</v>
      </c>
      <c r="B101" s="17" t="str">
        <f t="shared" ca="1" si="3"/>
        <v/>
      </c>
      <c r="C101" s="18"/>
      <c r="D101" s="18"/>
      <c r="E101" s="19"/>
    </row>
    <row r="102" spans="1:5" x14ac:dyDescent="0.45">
      <c r="A102" s="16">
        <f t="shared" si="2"/>
        <v>101</v>
      </c>
      <c r="B102" s="17" t="str">
        <f t="shared" ca="1" si="3"/>
        <v/>
      </c>
      <c r="C102" s="18"/>
      <c r="D102" s="18"/>
      <c r="E102" s="19"/>
    </row>
    <row r="103" spans="1:5" x14ac:dyDescent="0.45">
      <c r="A103" s="16">
        <f t="shared" si="2"/>
        <v>102</v>
      </c>
      <c r="B103" s="17" t="str">
        <f t="shared" ca="1" si="3"/>
        <v/>
      </c>
      <c r="C103" s="18"/>
      <c r="D103" s="18"/>
      <c r="E103" s="19"/>
    </row>
    <row r="104" spans="1:5" x14ac:dyDescent="0.45">
      <c r="A104" s="16">
        <f t="shared" si="2"/>
        <v>103</v>
      </c>
      <c r="B104" s="17" t="str">
        <f t="shared" ca="1" si="3"/>
        <v/>
      </c>
      <c r="C104" s="18"/>
      <c r="D104" s="18"/>
      <c r="E104" s="19"/>
    </row>
    <row r="105" spans="1:5" x14ac:dyDescent="0.45">
      <c r="A105" s="16">
        <f t="shared" si="2"/>
        <v>104</v>
      </c>
      <c r="B105" s="17" t="str">
        <f t="shared" ca="1" si="3"/>
        <v/>
      </c>
      <c r="C105" s="18"/>
      <c r="D105" s="18"/>
      <c r="E105" s="19"/>
    </row>
    <row r="106" spans="1:5" x14ac:dyDescent="0.45">
      <c r="A106" s="16">
        <f t="shared" si="2"/>
        <v>105</v>
      </c>
      <c r="B106" s="17" t="str">
        <f t="shared" ca="1" si="3"/>
        <v/>
      </c>
      <c r="C106" s="18"/>
      <c r="D106" s="18"/>
      <c r="E106" s="19"/>
    </row>
    <row r="107" spans="1:5" x14ac:dyDescent="0.45">
      <c r="A107" s="16">
        <f t="shared" si="2"/>
        <v>106</v>
      </c>
      <c r="B107" s="17" t="str">
        <f t="shared" ca="1" si="3"/>
        <v/>
      </c>
      <c r="C107" s="18"/>
      <c r="D107" s="18"/>
      <c r="E107" s="19"/>
    </row>
    <row r="108" spans="1:5" x14ac:dyDescent="0.45">
      <c r="A108" s="16">
        <f t="shared" si="2"/>
        <v>107</v>
      </c>
      <c r="B108" s="17" t="str">
        <f t="shared" ca="1" si="3"/>
        <v/>
      </c>
      <c r="C108" s="18"/>
      <c r="D108" s="18"/>
      <c r="E108" s="19"/>
    </row>
    <row r="109" spans="1:5" x14ac:dyDescent="0.45">
      <c r="A109" s="16">
        <f t="shared" si="2"/>
        <v>108</v>
      </c>
      <c r="B109" s="17" t="str">
        <f t="shared" ca="1" si="3"/>
        <v/>
      </c>
      <c r="C109" s="18"/>
      <c r="D109" s="18"/>
      <c r="E109" s="19"/>
    </row>
    <row r="110" spans="1:5" x14ac:dyDescent="0.45">
      <c r="A110" s="16">
        <f t="shared" si="2"/>
        <v>109</v>
      </c>
      <c r="B110" s="17" t="str">
        <f t="shared" ca="1" si="3"/>
        <v/>
      </c>
      <c r="C110" s="18"/>
      <c r="D110" s="18"/>
      <c r="E110" s="19"/>
    </row>
    <row r="111" spans="1:5" x14ac:dyDescent="0.45">
      <c r="A111" s="16">
        <f t="shared" si="2"/>
        <v>110</v>
      </c>
      <c r="B111" s="17" t="str">
        <f t="shared" ca="1" si="3"/>
        <v/>
      </c>
      <c r="C111" s="18"/>
      <c r="D111" s="18"/>
      <c r="E111" s="19"/>
    </row>
    <row r="112" spans="1:5" x14ac:dyDescent="0.45">
      <c r="A112" s="16">
        <f t="shared" si="2"/>
        <v>111</v>
      </c>
      <c r="B112" s="17" t="str">
        <f t="shared" ca="1" si="3"/>
        <v/>
      </c>
      <c r="C112" s="18"/>
      <c r="D112" s="18"/>
      <c r="E112" s="19"/>
    </row>
    <row r="113" spans="1:5" x14ac:dyDescent="0.45">
      <c r="A113" s="16">
        <f t="shared" si="2"/>
        <v>112</v>
      </c>
      <c r="B113" s="17" t="str">
        <f t="shared" ca="1" si="3"/>
        <v/>
      </c>
      <c r="C113" s="18"/>
      <c r="D113" s="18"/>
      <c r="E113" s="19"/>
    </row>
    <row r="114" spans="1:5" x14ac:dyDescent="0.45">
      <c r="A114" s="16">
        <f t="shared" si="2"/>
        <v>113</v>
      </c>
      <c r="B114" s="17" t="str">
        <f t="shared" ca="1" si="3"/>
        <v/>
      </c>
      <c r="C114" s="18"/>
      <c r="D114" s="18"/>
      <c r="E114" s="19"/>
    </row>
    <row r="115" spans="1:5" x14ac:dyDescent="0.45">
      <c r="A115" s="16">
        <f t="shared" si="2"/>
        <v>114</v>
      </c>
      <c r="B115" s="17" t="str">
        <f t="shared" ca="1" si="3"/>
        <v/>
      </c>
      <c r="C115" s="18"/>
      <c r="D115" s="18"/>
      <c r="E115" s="19"/>
    </row>
    <row r="116" spans="1:5" x14ac:dyDescent="0.45">
      <c r="A116" s="16">
        <f t="shared" si="2"/>
        <v>115</v>
      </c>
      <c r="B116" s="17" t="str">
        <f t="shared" ca="1" si="3"/>
        <v/>
      </c>
      <c r="C116" s="18"/>
      <c r="D116" s="18"/>
      <c r="E116" s="19"/>
    </row>
    <row r="117" spans="1:5" x14ac:dyDescent="0.45">
      <c r="A117" s="16">
        <f t="shared" si="2"/>
        <v>116</v>
      </c>
      <c r="B117" s="17" t="str">
        <f t="shared" ca="1" si="3"/>
        <v/>
      </c>
      <c r="C117" s="18"/>
      <c r="D117" s="18"/>
      <c r="E117" s="19"/>
    </row>
    <row r="118" spans="1:5" x14ac:dyDescent="0.45">
      <c r="A118" s="16">
        <f t="shared" si="2"/>
        <v>117</v>
      </c>
      <c r="B118" s="17" t="str">
        <f t="shared" ca="1" si="3"/>
        <v/>
      </c>
      <c r="C118" s="18"/>
      <c r="D118" s="18"/>
      <c r="E118" s="19"/>
    </row>
    <row r="119" spans="1:5" x14ac:dyDescent="0.45">
      <c r="A119" s="16">
        <f t="shared" si="2"/>
        <v>118</v>
      </c>
      <c r="B119" s="17" t="str">
        <f t="shared" ca="1" si="3"/>
        <v/>
      </c>
      <c r="C119" s="18"/>
      <c r="D119" s="18"/>
      <c r="E119" s="19"/>
    </row>
    <row r="120" spans="1:5" x14ac:dyDescent="0.45">
      <c r="A120" s="16">
        <f t="shared" si="2"/>
        <v>119</v>
      </c>
      <c r="B120" s="17" t="str">
        <f t="shared" ca="1" si="3"/>
        <v/>
      </c>
      <c r="C120" s="18"/>
      <c r="D120" s="18"/>
      <c r="E120" s="19"/>
    </row>
    <row r="121" spans="1:5" x14ac:dyDescent="0.45">
      <c r="A121" s="16">
        <f t="shared" si="2"/>
        <v>120</v>
      </c>
      <c r="B121" s="17" t="str">
        <f t="shared" ca="1" si="3"/>
        <v/>
      </c>
      <c r="C121" s="18"/>
      <c r="D121" s="18"/>
      <c r="E121" s="19"/>
    </row>
    <row r="122" spans="1:5" x14ac:dyDescent="0.45">
      <c r="A122" s="16">
        <f t="shared" si="2"/>
        <v>121</v>
      </c>
      <c r="B122" s="17" t="str">
        <f t="shared" ca="1" si="3"/>
        <v/>
      </c>
      <c r="C122" s="18"/>
      <c r="D122" s="18"/>
      <c r="E122" s="19"/>
    </row>
    <row r="123" spans="1:5" x14ac:dyDescent="0.45">
      <c r="A123" s="16">
        <f t="shared" si="2"/>
        <v>122</v>
      </c>
      <c r="B123" s="17" t="str">
        <f t="shared" ca="1" si="3"/>
        <v/>
      </c>
      <c r="C123" s="18"/>
      <c r="D123" s="18"/>
      <c r="E123" s="19"/>
    </row>
    <row r="124" spans="1:5" x14ac:dyDescent="0.45">
      <c r="A124" s="16">
        <f t="shared" si="2"/>
        <v>123</v>
      </c>
      <c r="B124" s="17" t="str">
        <f t="shared" ca="1" si="3"/>
        <v/>
      </c>
      <c r="C124" s="18"/>
      <c r="D124" s="18"/>
      <c r="E124" s="20"/>
    </row>
    <row r="125" spans="1:5" x14ac:dyDescent="0.45">
      <c r="A125" s="16">
        <f t="shared" si="2"/>
        <v>124</v>
      </c>
      <c r="B125" s="17" t="str">
        <f t="shared" ca="1" si="3"/>
        <v/>
      </c>
      <c r="C125" s="18"/>
      <c r="D125" s="18"/>
      <c r="E125" s="20"/>
    </row>
    <row r="126" spans="1:5" x14ac:dyDescent="0.45">
      <c r="A126" s="16">
        <f t="shared" si="2"/>
        <v>125</v>
      </c>
      <c r="B126" s="17" t="str">
        <f t="shared" ca="1" si="3"/>
        <v/>
      </c>
      <c r="C126" s="18"/>
      <c r="D126" s="18"/>
      <c r="E126" s="20"/>
    </row>
    <row r="127" spans="1:5" x14ac:dyDescent="0.45">
      <c r="A127" s="16">
        <f t="shared" si="2"/>
        <v>126</v>
      </c>
      <c r="B127" s="17" t="str">
        <f t="shared" ca="1" si="3"/>
        <v/>
      </c>
      <c r="C127" s="18"/>
      <c r="D127" s="18"/>
      <c r="E127" s="20"/>
    </row>
    <row r="128" spans="1:5" x14ac:dyDescent="0.45">
      <c r="A128" s="16">
        <f t="shared" si="2"/>
        <v>127</v>
      </c>
      <c r="B128" s="17" t="str">
        <f t="shared" ca="1" si="3"/>
        <v/>
      </c>
      <c r="C128" s="18"/>
      <c r="D128" s="18"/>
      <c r="E128" s="20"/>
    </row>
    <row r="129" spans="1:5" x14ac:dyDescent="0.45">
      <c r="A129" s="16">
        <f t="shared" si="2"/>
        <v>128</v>
      </c>
      <c r="B129" s="17" t="str">
        <f t="shared" ca="1" si="3"/>
        <v/>
      </c>
      <c r="C129" s="18"/>
      <c r="D129" s="18"/>
      <c r="E129" s="20"/>
    </row>
    <row r="130" spans="1:5" x14ac:dyDescent="0.45">
      <c r="A130" s="16">
        <f t="shared" si="2"/>
        <v>129</v>
      </c>
      <c r="B130" s="17" t="str">
        <f t="shared" ca="1" si="3"/>
        <v/>
      </c>
      <c r="C130" s="18"/>
      <c r="D130" s="18"/>
      <c r="E130" s="20"/>
    </row>
    <row r="131" spans="1:5" x14ac:dyDescent="0.45">
      <c r="A131" s="16">
        <f t="shared" si="2"/>
        <v>130</v>
      </c>
      <c r="B131" s="17" t="str">
        <f t="shared" ca="1" si="3"/>
        <v/>
      </c>
      <c r="C131" s="18"/>
      <c r="D131" s="18"/>
      <c r="E131" s="20"/>
    </row>
    <row r="132" spans="1:5" x14ac:dyDescent="0.45">
      <c r="A132" s="16">
        <f t="shared" ref="A132:A134" si="4">A131+1</f>
        <v>131</v>
      </c>
      <c r="B132" s="17" t="str">
        <f t="shared" ca="1" si="3"/>
        <v/>
      </c>
      <c r="C132" s="18"/>
      <c r="D132" s="18"/>
      <c r="E132" s="20"/>
    </row>
    <row r="133" spans="1:5" x14ac:dyDescent="0.45">
      <c r="A133" s="16">
        <f t="shared" si="4"/>
        <v>132</v>
      </c>
      <c r="B133" s="17" t="str">
        <f t="shared" ca="1" si="3"/>
        <v/>
      </c>
      <c r="C133" s="18"/>
      <c r="D133" s="18"/>
      <c r="E133" s="19"/>
    </row>
    <row r="134" spans="1:5" x14ac:dyDescent="0.45">
      <c r="A134" s="16">
        <f t="shared" si="4"/>
        <v>133</v>
      </c>
      <c r="B134" s="17" t="str">
        <f t="shared" ca="1" si="3"/>
        <v/>
      </c>
      <c r="C134" s="18"/>
      <c r="D134" s="18"/>
      <c r="E134" s="19"/>
    </row>
  </sheetData>
  <autoFilter ref="B1:E123"/>
  <phoneticPr fontId="15"/>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2:L19"/>
  <sheetViews>
    <sheetView topLeftCell="A2" workbookViewId="0">
      <selection activeCell="A12" sqref="A12"/>
    </sheetView>
  </sheetViews>
  <sheetFormatPr defaultRowHeight="13.2" x14ac:dyDescent="0.45"/>
  <cols>
    <col min="1" max="1" width="19.59765625" style="39" bestFit="1" customWidth="1"/>
    <col min="2" max="2" width="9.296875" style="39" bestFit="1" customWidth="1"/>
    <col min="3" max="3" width="22.5" style="39" customWidth="1"/>
    <col min="4" max="4" width="13.5" style="39" customWidth="1"/>
    <col min="5" max="5" width="15.8984375" style="39" bestFit="1" customWidth="1"/>
    <col min="6" max="6" width="28.8984375" style="39" customWidth="1"/>
    <col min="7" max="7" width="24.3984375" style="39" customWidth="1"/>
    <col min="8" max="8" width="25.3984375" style="39" customWidth="1"/>
    <col min="9" max="9" width="26.796875" style="39" customWidth="1"/>
    <col min="10" max="10" width="20.5" style="39" bestFit="1" customWidth="1"/>
    <col min="11" max="11" width="15.59765625" style="39" customWidth="1"/>
    <col min="12" max="12" width="26" style="39" customWidth="1"/>
    <col min="13" max="16384" width="8.796875" style="39"/>
  </cols>
  <sheetData>
    <row r="2" spans="1:12" x14ac:dyDescent="0.45">
      <c r="A2" s="39" t="s">
        <v>68</v>
      </c>
    </row>
    <row r="3" spans="1:12" x14ac:dyDescent="0.45">
      <c r="A3" s="45" t="s">
        <v>69</v>
      </c>
      <c r="B3" s="46" t="s">
        <v>50</v>
      </c>
      <c r="C3" s="46" t="s">
        <v>64</v>
      </c>
      <c r="D3" s="46" t="s">
        <v>65</v>
      </c>
      <c r="E3" s="45" t="s">
        <v>54</v>
      </c>
      <c r="F3" s="45" t="s">
        <v>55</v>
      </c>
      <c r="G3" s="45" t="s">
        <v>56</v>
      </c>
      <c r="H3" s="45" t="s">
        <v>57</v>
      </c>
      <c r="I3" s="45" t="s">
        <v>58</v>
      </c>
      <c r="J3" s="45" t="s">
        <v>59</v>
      </c>
      <c r="K3" s="45" t="s">
        <v>60</v>
      </c>
      <c r="L3" s="45" t="s">
        <v>61</v>
      </c>
    </row>
    <row r="4" spans="1:12" x14ac:dyDescent="0.25">
      <c r="A4" s="40" t="s">
        <v>21</v>
      </c>
      <c r="B4" s="40">
        <v>20200901</v>
      </c>
      <c r="C4" s="43" t="s">
        <v>62</v>
      </c>
      <c r="D4" s="43" t="s">
        <v>63</v>
      </c>
      <c r="E4" s="42">
        <v>235</v>
      </c>
      <c r="F4" s="42">
        <v>41</v>
      </c>
      <c r="G4" s="42">
        <v>0</v>
      </c>
      <c r="H4" s="42">
        <v>11</v>
      </c>
      <c r="I4" s="42">
        <v>1</v>
      </c>
      <c r="J4" s="42">
        <v>7</v>
      </c>
      <c r="K4" s="42">
        <v>0</v>
      </c>
      <c r="L4" s="42">
        <v>0</v>
      </c>
    </row>
    <row r="5" spans="1:12" x14ac:dyDescent="0.25">
      <c r="A5" s="40" t="s">
        <v>21</v>
      </c>
      <c r="B5" s="40">
        <v>20200902</v>
      </c>
      <c r="C5" s="43" t="s">
        <v>62</v>
      </c>
      <c r="D5" s="43" t="s">
        <v>63</v>
      </c>
      <c r="E5" s="42">
        <v>220</v>
      </c>
      <c r="F5" s="42">
        <v>34</v>
      </c>
      <c r="G5" s="42">
        <v>0</v>
      </c>
      <c r="H5" s="42">
        <v>7</v>
      </c>
      <c r="I5" s="42">
        <v>0</v>
      </c>
      <c r="J5" s="42">
        <v>20</v>
      </c>
      <c r="K5" s="42">
        <v>0</v>
      </c>
      <c r="L5" s="42">
        <v>0</v>
      </c>
    </row>
    <row r="6" spans="1:12" x14ac:dyDescent="0.25">
      <c r="A6" s="40" t="s">
        <v>21</v>
      </c>
      <c r="B6" s="40">
        <v>20200903</v>
      </c>
      <c r="C6" s="43" t="s">
        <v>62</v>
      </c>
      <c r="D6" s="43" t="s">
        <v>63</v>
      </c>
      <c r="E6" s="42">
        <v>79</v>
      </c>
      <c r="F6" s="42">
        <v>22</v>
      </c>
      <c r="G6" s="42">
        <v>0</v>
      </c>
      <c r="H6" s="42">
        <v>10</v>
      </c>
      <c r="I6" s="42">
        <v>0</v>
      </c>
      <c r="J6" s="42">
        <v>0</v>
      </c>
      <c r="K6" s="42">
        <v>0</v>
      </c>
      <c r="L6" s="42">
        <v>0</v>
      </c>
    </row>
    <row r="7" spans="1:12" x14ac:dyDescent="0.25">
      <c r="A7" s="41" t="s">
        <v>51</v>
      </c>
      <c r="B7" s="40">
        <v>20200901</v>
      </c>
      <c r="C7" s="43" t="s">
        <v>62</v>
      </c>
      <c r="D7" s="43" t="s">
        <v>63</v>
      </c>
      <c r="E7" s="42">
        <v>235</v>
      </c>
      <c r="F7" s="42">
        <v>41</v>
      </c>
      <c r="G7" s="42">
        <v>0</v>
      </c>
      <c r="H7" s="42">
        <v>11</v>
      </c>
      <c r="I7" s="42">
        <v>1</v>
      </c>
      <c r="J7" s="42">
        <v>7</v>
      </c>
      <c r="K7" s="42">
        <v>0</v>
      </c>
      <c r="L7" s="42">
        <v>0</v>
      </c>
    </row>
    <row r="8" spans="1:12" x14ac:dyDescent="0.25">
      <c r="A8" s="41" t="s">
        <v>51</v>
      </c>
      <c r="B8" s="40">
        <v>20200902</v>
      </c>
      <c r="C8" s="43" t="s">
        <v>62</v>
      </c>
      <c r="D8" s="43" t="s">
        <v>63</v>
      </c>
      <c r="E8" s="42">
        <v>220</v>
      </c>
      <c r="F8" s="42">
        <v>34</v>
      </c>
      <c r="G8" s="42">
        <v>0</v>
      </c>
      <c r="H8" s="42">
        <v>7</v>
      </c>
      <c r="I8" s="42">
        <v>0</v>
      </c>
      <c r="J8" s="42">
        <v>20</v>
      </c>
      <c r="K8" s="42">
        <v>0</v>
      </c>
      <c r="L8" s="42">
        <v>0</v>
      </c>
    </row>
    <row r="9" spans="1:12" x14ac:dyDescent="0.25">
      <c r="A9" s="41" t="s">
        <v>51</v>
      </c>
      <c r="B9" s="40">
        <v>20200903</v>
      </c>
      <c r="C9" s="43" t="s">
        <v>62</v>
      </c>
      <c r="D9" s="43" t="s">
        <v>63</v>
      </c>
      <c r="E9" s="42">
        <v>79</v>
      </c>
      <c r="F9" s="42">
        <v>22</v>
      </c>
      <c r="G9" s="42">
        <v>0</v>
      </c>
      <c r="H9" s="42">
        <v>10</v>
      </c>
      <c r="I9" s="42">
        <v>0</v>
      </c>
      <c r="J9" s="42">
        <v>0</v>
      </c>
      <c r="K9" s="42">
        <v>0</v>
      </c>
      <c r="L9" s="42">
        <v>0</v>
      </c>
    </row>
    <row r="11" spans="1:12" x14ac:dyDescent="0.45">
      <c r="A11" s="39" t="s">
        <v>70</v>
      </c>
    </row>
    <row r="12" spans="1:12" x14ac:dyDescent="0.45">
      <c r="H12" s="44"/>
    </row>
    <row r="13" spans="1:12" x14ac:dyDescent="0.45">
      <c r="H13" s="44"/>
    </row>
    <row r="14" spans="1:12" x14ac:dyDescent="0.45">
      <c r="H14" s="44"/>
    </row>
    <row r="15" spans="1:12" x14ac:dyDescent="0.45">
      <c r="H15" s="44"/>
    </row>
    <row r="16" spans="1:12" x14ac:dyDescent="0.45">
      <c r="H16" s="44"/>
    </row>
    <row r="17" spans="8:8" x14ac:dyDescent="0.45">
      <c r="H17" s="44"/>
    </row>
    <row r="18" spans="8:8" x14ac:dyDescent="0.45">
      <c r="H18" s="44"/>
    </row>
    <row r="19" spans="8:8" x14ac:dyDescent="0.45">
      <c r="H19" s="44"/>
    </row>
  </sheetData>
  <phoneticPr fontId="15"/>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B2:I34"/>
  <sheetViews>
    <sheetView showGridLines="0" workbookViewId="0"/>
  </sheetViews>
  <sheetFormatPr defaultColWidth="9" defaultRowHeight="18" x14ac:dyDescent="0.45"/>
  <cols>
    <col min="1" max="1" width="9" style="21"/>
    <col min="2" max="2" width="11.5" style="21" bestFit="1" customWidth="1"/>
    <col min="3" max="3" width="32.5" style="21" customWidth="1"/>
    <col min="4" max="4" width="16.5" style="21" customWidth="1"/>
    <col min="5" max="5" width="13.8984375" style="21" customWidth="1"/>
    <col min="6" max="6" width="22.8984375" style="21" customWidth="1"/>
    <col min="7" max="16384" width="9" style="21"/>
  </cols>
  <sheetData>
    <row r="2" spans="2:9" x14ac:dyDescent="0.45">
      <c r="B2" s="21" t="s">
        <v>25</v>
      </c>
    </row>
    <row r="3" spans="2:9" x14ac:dyDescent="0.45">
      <c r="B3" s="32" t="s">
        <v>26</v>
      </c>
      <c r="C3" s="22" t="s">
        <v>27</v>
      </c>
      <c r="E3" s="23"/>
    </row>
    <row r="4" spans="2:9" x14ac:dyDescent="0.45">
      <c r="B4" s="32"/>
      <c r="C4" s="22" t="s">
        <v>28</v>
      </c>
      <c r="E4" s="23"/>
      <c r="I4" s="24"/>
    </row>
    <row r="5" spans="2:9" x14ac:dyDescent="0.45">
      <c r="B5" s="32"/>
      <c r="C5" s="22" t="s">
        <v>29</v>
      </c>
      <c r="E5" s="23"/>
    </row>
    <row r="6" spans="2:9" x14ac:dyDescent="0.45">
      <c r="B6" s="32"/>
      <c r="C6" s="22" t="s">
        <v>30</v>
      </c>
      <c r="E6" s="23"/>
    </row>
    <row r="7" spans="2:9" x14ac:dyDescent="0.45">
      <c r="B7" s="32"/>
      <c r="C7" s="22" t="s">
        <v>31</v>
      </c>
      <c r="E7" s="23"/>
    </row>
    <row r="8" spans="2:9" x14ac:dyDescent="0.45">
      <c r="B8" s="33" t="s">
        <v>32</v>
      </c>
      <c r="C8" s="22" t="s">
        <v>33</v>
      </c>
      <c r="E8" s="23"/>
    </row>
    <row r="9" spans="2:9" x14ac:dyDescent="0.45">
      <c r="B9" s="34"/>
      <c r="C9" s="22" t="s">
        <v>34</v>
      </c>
      <c r="E9" s="23"/>
    </row>
    <row r="10" spans="2:9" x14ac:dyDescent="0.45">
      <c r="B10" s="34"/>
      <c r="C10" s="22" t="s">
        <v>35</v>
      </c>
      <c r="E10" s="23"/>
    </row>
    <row r="11" spans="2:9" x14ac:dyDescent="0.45">
      <c r="B11" s="34"/>
      <c r="C11" s="22" t="s">
        <v>36</v>
      </c>
      <c r="D11" s="21" t="s">
        <v>37</v>
      </c>
      <c r="E11" s="23"/>
    </row>
    <row r="12" spans="2:9" x14ac:dyDescent="0.45">
      <c r="B12" s="34"/>
      <c r="C12" s="22" t="s">
        <v>38</v>
      </c>
      <c r="D12" s="21" t="s">
        <v>37</v>
      </c>
      <c r="E12" s="23"/>
    </row>
    <row r="13" spans="2:9" x14ac:dyDescent="0.45">
      <c r="B13" s="34"/>
      <c r="C13" s="22" t="s">
        <v>39</v>
      </c>
      <c r="E13" s="23"/>
    </row>
    <row r="14" spans="2:9" x14ac:dyDescent="0.45">
      <c r="B14" s="34"/>
      <c r="C14" s="22" t="s">
        <v>40</v>
      </c>
      <c r="E14" s="23"/>
    </row>
    <row r="15" spans="2:9" x14ac:dyDescent="0.45">
      <c r="B15" s="35"/>
      <c r="C15" s="22" t="s">
        <v>41</v>
      </c>
      <c r="E15" s="23"/>
    </row>
    <row r="16" spans="2:9" x14ac:dyDescent="0.45">
      <c r="B16" s="25" t="s">
        <v>42</v>
      </c>
      <c r="C16" s="22" t="s">
        <v>43</v>
      </c>
      <c r="E16" s="26"/>
    </row>
    <row r="17" spans="2:5" x14ac:dyDescent="0.45">
      <c r="B17" s="33" t="s">
        <v>44</v>
      </c>
      <c r="C17" s="22" t="s">
        <v>45</v>
      </c>
      <c r="E17" s="23"/>
    </row>
    <row r="18" spans="2:5" x14ac:dyDescent="0.45">
      <c r="B18" s="35"/>
      <c r="C18" s="22" t="s">
        <v>46</v>
      </c>
      <c r="E18" s="23"/>
    </row>
    <row r="19" spans="2:5" x14ac:dyDescent="0.45">
      <c r="B19" s="32" t="s">
        <v>47</v>
      </c>
      <c r="C19" s="22" t="s">
        <v>15</v>
      </c>
      <c r="E19" s="23"/>
    </row>
    <row r="20" spans="2:5" x14ac:dyDescent="0.45">
      <c r="B20" s="32"/>
      <c r="C20" s="22" t="s">
        <v>18</v>
      </c>
      <c r="E20" s="23"/>
    </row>
    <row r="21" spans="2:5" x14ac:dyDescent="0.45">
      <c r="B21" s="32"/>
      <c r="C21" s="22" t="s">
        <v>23</v>
      </c>
      <c r="E21" s="23"/>
    </row>
    <row r="22" spans="2:5" x14ac:dyDescent="0.45">
      <c r="B22" s="32"/>
      <c r="C22" s="22" t="s">
        <v>19</v>
      </c>
      <c r="E22" s="23"/>
    </row>
    <row r="23" spans="2:5" x14ac:dyDescent="0.45">
      <c r="B23" s="32"/>
      <c r="C23" s="22" t="s">
        <v>16</v>
      </c>
      <c r="E23" s="23"/>
    </row>
    <row r="24" spans="2:5" x14ac:dyDescent="0.45">
      <c r="B24" s="32"/>
      <c r="C24" s="22" t="s">
        <v>22</v>
      </c>
      <c r="E24" s="23"/>
    </row>
    <row r="25" spans="2:5" x14ac:dyDescent="0.45">
      <c r="B25" s="32"/>
      <c r="C25" s="22" t="s">
        <v>17</v>
      </c>
      <c r="E25" s="23"/>
    </row>
    <row r="26" spans="2:5" x14ac:dyDescent="0.45">
      <c r="B26" s="32"/>
      <c r="C26" s="22" t="s">
        <v>20</v>
      </c>
      <c r="E26" s="23"/>
    </row>
    <row r="27" spans="2:5" x14ac:dyDescent="0.45">
      <c r="B27" s="32"/>
      <c r="C27" s="27" t="s">
        <v>24</v>
      </c>
      <c r="E27" s="23"/>
    </row>
    <row r="28" spans="2:5" x14ac:dyDescent="0.45">
      <c r="E28" s="23"/>
    </row>
    <row r="29" spans="2:5" x14ac:dyDescent="0.45">
      <c r="E29" s="23"/>
    </row>
    <row r="30" spans="2:5" x14ac:dyDescent="0.45">
      <c r="E30" s="23"/>
    </row>
    <row r="31" spans="2:5" x14ac:dyDescent="0.45">
      <c r="E31" s="23"/>
    </row>
    <row r="32" spans="2:5" x14ac:dyDescent="0.45">
      <c r="E32" s="23"/>
    </row>
    <row r="33" spans="5:5" x14ac:dyDescent="0.45">
      <c r="E33" s="23"/>
    </row>
    <row r="34" spans="5:5" x14ac:dyDescent="0.45">
      <c r="E34" s="23"/>
    </row>
  </sheetData>
  <mergeCells count="4">
    <mergeCell ref="B3:B7"/>
    <mergeCell ref="B8:B15"/>
    <mergeCell ref="B17:B18"/>
    <mergeCell ref="B19:B27"/>
  </mergeCells>
  <phoneticPr fontId="1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A Documents" ma:contentTypeID="0x010100F29EE3A8541FD84E839C1BF6BC27F486009480CDEB9BE0C74BA589BA65094B053F" ma:contentTypeVersion="55" ma:contentTypeDescription="" ma:contentTypeScope="" ma:versionID="3eb9c1449a0c367d87326fcd674072c1">
  <xsd:schema xmlns:xsd="http://www.w3.org/2001/XMLSchema" xmlns:xs="http://www.w3.org/2001/XMLSchema" xmlns:p="http://schemas.microsoft.com/office/2006/metadata/properties" xmlns:ns2="C93B7ADD-9709-4BF6-B763-96F254727F6C" xmlns:ns4="c93b7add-9709-4bf6-b763-96f254727f6c" xmlns:ns5="http://schemas.microsoft.com/sharepoint/v3/fields" xmlns:ns6="ffb9abc9-8c49-474a-b8d5-bdc06e9ec9a2" targetNamespace="http://schemas.microsoft.com/office/2006/metadata/properties" ma:root="true" ma:fieldsID="9d344f19addb9b0a8dffe9dddec4e923" ns2:_="" ns4:_="" ns5:_="" ns6:_="">
    <xsd:import namespace="C93B7ADD-9709-4BF6-B763-96F254727F6C"/>
    <xsd:import namespace="c93b7add-9709-4bf6-b763-96f254727f6c"/>
    <xsd:import namespace="http://schemas.microsoft.com/sharepoint/v3/fields"/>
    <xsd:import namespace="ffb9abc9-8c49-474a-b8d5-bdc06e9ec9a2"/>
    <xsd:element name="properties">
      <xsd:complexType>
        <xsd:sequence>
          <xsd:element name="documentManagement">
            <xsd:complexType>
              <xsd:all>
                <xsd:element ref="ns2:Document_x005f_x0020_Champion" minOccurs="0"/>
                <xsd:element ref="ns2:Notes1" minOccurs="0"/>
                <xsd:element ref="ns4:TaxCatchAll" minOccurs="0"/>
                <xsd:element ref="ns4:TaxCatchAllLabel" minOccurs="0"/>
                <xsd:element ref="ns4:n330dedb03e34b2589c43ad463d07605" minOccurs="0"/>
                <xsd:element ref="ns5:Description" minOccurs="0"/>
                <xsd:element ref="ns4:obdad211ae7b400284dd94ad9a34a32d" minOccurs="0"/>
                <xsd:element ref="ns4:k3c04b898cb84412b61f4a5fa909f33a" minOccurs="0"/>
                <xsd:element ref="ns4:p4f8290b47e843c5a899e891616f49ab" minOccurs="0"/>
                <xsd:element ref="ns4:g70981765b9848389334e828d5ffd3ee" minOccurs="0"/>
                <xsd:element ref="ns4:i7e3a726937945c0b55fd8a84d1eb519" minOccurs="0"/>
                <xsd:element ref="ns4:f1334376777a4fe79e5e9508c349bf3e" minOccurs="0"/>
                <xsd:element ref="ns6:l54a256c0c3345278c38030f865ea850" minOccurs="0"/>
                <xsd:element ref="ns6:f6bbb64cce2142a9be3972dedfc49d09" minOccurs="0"/>
                <xsd:element ref="ns6:d550cdcf47da45a49a410f8f6b7b2e08" minOccurs="0"/>
                <xsd:element ref="ns6:le810d0f6f6242b486cf32bd938c51ea" minOccurs="0"/>
                <xsd:element ref="ns6:g5b27afc9017479f8a298f71a7b9d1ce" minOccurs="0"/>
                <xsd:element ref="ns6:pfd70da4a55340c2aa6f54f9a8f1ac99" minOccurs="0"/>
                <xsd:element ref="ns6:b774691e17904fd29865b4a3a167f6f7" minOccurs="0"/>
                <xsd:element ref="ns6:ia0e769a780b4d4ebf0f9d29ba16b063" minOccurs="0"/>
                <xsd:element ref="ns6:MediaServiceMetadata" minOccurs="0"/>
                <xsd:element ref="ns6:MediaServiceFastMetadata" minOccurs="0"/>
                <xsd:element ref="ns6:MediaServiceDateTaken" minOccurs="0"/>
                <xsd:element ref="ns6:MediaServiceAutoKeyPoints" minOccurs="0"/>
                <xsd:element ref="ns6:MediaServiceKeyPoints" minOccurs="0"/>
                <xsd:element ref="ns4: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Document_x005f_x0020_Champion" ma:index="2" nillable="true" ma:displayName="Document Champion" ma:list="UserInfo" ma:SharePointGroup="0" ma:internalName="Document_x0020_Champi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otes1" ma:index="6" nillable="true" ma:displayName="Notes" ma:internalName="Notes1"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27b152c7-13fc-4252-b57b-212c175ae1ea}" ma:internalName="TaxCatchAll" ma:showField="CatchAllData"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27b152c7-13fc-4252-b57b-212c175ae1ea}" ma:internalName="TaxCatchAllLabel" ma:readOnly="true" ma:showField="CatchAllDataLabel"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n330dedb03e34b2589c43ad463d07605" ma:index="13" nillable="true" ma:taxonomy="true" ma:internalName="n330dedb03e34b2589c43ad463d07605" ma:taxonomyFieldName="CAFunctionalGroup" ma:displayName="Functional Group" ma:readOnly="false" ma:default="" ma:fieldId="{7330dedb-03e3-4b25-89c4-3ad463d07605}" ma:sspId="75f3bec0-dff0-44ea-b4c0-494f6bf37501" ma:termSetId="0b00c03d-7e06-4b91-a393-d5e1fab4c228" ma:anchorId="00000000-0000-0000-0000-000000000000" ma:open="false" ma:isKeyword="false">
      <xsd:complexType>
        <xsd:sequence>
          <xsd:element ref="pc:Terms" minOccurs="0" maxOccurs="1"/>
        </xsd:sequence>
      </xsd:complexType>
    </xsd:element>
    <xsd:element name="obdad211ae7b400284dd94ad9a34a32d" ma:index="15" nillable="true" ma:taxonomy="true" ma:internalName="obdad211ae7b400284dd94ad9a34a32d" ma:taxonomyFieldName="CADocumentType" ma:displayName="Document Type" ma:readOnly="false" ma:default="" ma:fieldId="{8bdad211-ae7b-4002-84dd-94ad9a34a32d}" ma:sspId="75f3bec0-dff0-44ea-b4c0-494f6bf37501" ma:termSetId="cb9fdaaa-9dbf-4abd-af21-a441222adf64" ma:anchorId="00000000-0000-0000-0000-000000000000" ma:open="false" ma:isKeyword="false">
      <xsd:complexType>
        <xsd:sequence>
          <xsd:element ref="pc:Terms" minOccurs="0" maxOccurs="1"/>
        </xsd:sequence>
      </xsd:complexType>
    </xsd:element>
    <xsd:element name="k3c04b898cb84412b61f4a5fa909f33a" ma:index="17" nillable="true" ma:taxonomy="true" ma:internalName="k3c04b898cb84412b61f4a5fa909f33a" ma:taxonomyFieldName="Geographies" ma:displayName="Geography" ma:readOnly="false" ma:default="" ma:fieldId="{43c04b89-8cb8-4412-b61f-4a5fa909f33a}" ma:taxonomyMulti="true" ma:sspId="75f3bec0-dff0-44ea-b4c0-494f6bf37501" ma:termSetId="51863974-f163-47ec-acd7-c80c086ab7ae" ma:anchorId="00000000-0000-0000-0000-000000000000" ma:open="false" ma:isKeyword="false">
      <xsd:complexType>
        <xsd:sequence>
          <xsd:element ref="pc:Terms" minOccurs="0" maxOccurs="1"/>
        </xsd:sequence>
      </xsd:complexType>
    </xsd:element>
    <xsd:element name="p4f8290b47e843c5a899e891616f49ab" ma:index="19" nillable="true" ma:taxonomy="true" ma:internalName="p4f8290b47e843c5a899e891616f49ab" ma:taxonomyFieldName="CABusinessUnit" ma:displayName="Business Unit" ma:readOnly="false" ma:default="" ma:fieldId="{94f8290b-47e8-43c5-a899-e891616f49ab}" ma:taxonomyMulti="true" ma:sspId="75f3bec0-dff0-44ea-b4c0-494f6bf37501" ma:termSetId="7717ddd5-f419-4d2f-b71a-5b499f7e05c6" ma:anchorId="00000000-0000-0000-0000-000000000000" ma:open="false" ma:isKeyword="false">
      <xsd:complexType>
        <xsd:sequence>
          <xsd:element ref="pc:Terms" minOccurs="0" maxOccurs="1"/>
        </xsd:sequence>
      </xsd:complexType>
    </xsd:element>
    <xsd:element name="g70981765b9848389334e828d5ffd3ee" ma:index="21" nillable="true" ma:taxonomy="true" ma:internalName="g70981765b9848389334e828d5ffd3ee" ma:taxonomyFieldName="Indications" ma:displayName="Indications" ma:readOnly="false" ma:default="" ma:fieldId="{07098176-5b98-4838-9334-e828d5ffd3ee}" ma:taxonomyMulti="true" ma:sspId="75f3bec0-dff0-44ea-b4c0-494f6bf37501" ma:termSetId="bf2d3431-3e5b-4221-aa53-cec1ddb1ca5e" ma:anchorId="00000000-0000-0000-0000-000000000000" ma:open="false" ma:isKeyword="false">
      <xsd:complexType>
        <xsd:sequence>
          <xsd:element ref="pc:Terms" minOccurs="0" maxOccurs="1"/>
        </xsd:sequence>
      </xsd:complexType>
    </xsd:element>
    <xsd:element name="i7e3a726937945c0b55fd8a84d1eb519" ma:index="23" nillable="true" ma:taxonomy="true" ma:internalName="i7e3a726937945c0b55fd8a84d1eb519" ma:taxonomyFieldName="Brands" ma:displayName="Brand" ma:readOnly="false" ma:default="" ma:fieldId="{27e3a726-9379-45c0-b55f-d8a84d1eb519}" ma:taxonomyMulti="true" ma:sspId="75f3bec0-dff0-44ea-b4c0-494f6bf37501" ma:termSetId="197ea435-a5c4-4b29-b659-ab3b4d9908a3" ma:anchorId="00000000-0000-0000-0000-000000000000" ma:open="false" ma:isKeyword="false">
      <xsd:complexType>
        <xsd:sequence>
          <xsd:element ref="pc:Terms" minOccurs="0" maxOccurs="1"/>
        </xsd:sequence>
      </xsd:complexType>
    </xsd:element>
    <xsd:element name="f1334376777a4fe79e5e9508c349bf3e" ma:index="25" nillable="true" ma:taxonomy="true" ma:internalName="f1334376777a4fe79e5e9508c349bf3e" ma:taxonomyFieldName="CAPageType" ma:displayName="Content Type" ma:readOnly="false" ma:default="" ma:fieldId="{f1334376-777a-4fe7-9e5e-9508c349bf3e}" ma:sspId="75f3bec0-dff0-44ea-b4c0-494f6bf37501" ma:termSetId="07133748-e45c-425f-921a-40063d783a75" ma:anchorId="00000000-0000-0000-0000-000000000000" ma:open="false" ma:isKeyword="false">
      <xsd:complexType>
        <xsd:sequence>
          <xsd:element ref="pc:Terms" minOccurs="0" maxOccurs="1"/>
        </xsd:sequence>
      </xsd:complexType>
    </xsd:element>
    <xsd:element name="SharedWithUsers" ma:index="4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8"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Description" ma:index="14" nillable="true" ma:displayName="Description" ma:internalName="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b9abc9-8c49-474a-b8d5-bdc06e9ec9a2" elementFormDefault="qualified">
    <xsd:import namespace="http://schemas.microsoft.com/office/2006/documentManagement/types"/>
    <xsd:import namespace="http://schemas.microsoft.com/office/infopath/2007/PartnerControls"/>
    <xsd:element name="l54a256c0c3345278c38030f865ea850" ma:index="27" nillable="true" ma:taxonomy="true" ma:internalName="l54a256c0c3345278c38030f865ea850" ma:taxonomyFieldName="Document_x0020_Type" ma:displayName="Document Purpose/Type" ma:readOnly="false" ma:default="" ma:fieldId="{554a256c-0c33-4527-8c38-030f865ea850}" ma:sspId="75f3bec0-dff0-44ea-b4c0-494f6bf37501" ma:termSetId="af89588d-1b5f-4236-a73d-478a3e7d58ef" ma:anchorId="00000000-0000-0000-0000-000000000000" ma:open="false" ma:isKeyword="false">
      <xsd:complexType>
        <xsd:sequence>
          <xsd:element ref="pc:Terms" minOccurs="0" maxOccurs="1"/>
        </xsd:sequence>
      </xsd:complexType>
    </xsd:element>
    <xsd:element name="f6bbb64cce2142a9be3972dedfc49d09" ma:index="29" nillable="true" ma:taxonomy="true" ma:internalName="f6bbb64cce2142a9be3972dedfc49d09" ma:taxonomyFieldName="Functional_x0020_Area" ma:displayName="Functional Area" ma:readOnly="false" ma:default="" ma:fieldId="{f6bbb64c-ce21-42a9-be39-72dedfc49d09}" ma:sspId="75f3bec0-dff0-44ea-b4c0-494f6bf37501" ma:termSetId="657e3656-74bf-4d2c-9a41-cb636aed381f" ma:anchorId="00000000-0000-0000-0000-000000000000" ma:open="false" ma:isKeyword="false">
      <xsd:complexType>
        <xsd:sequence>
          <xsd:element ref="pc:Terms" minOccurs="0" maxOccurs="1"/>
        </xsd:sequence>
      </xsd:complexType>
    </xsd:element>
    <xsd:element name="d550cdcf47da45a49a410f8f6b7b2e08" ma:index="30" nillable="true" ma:taxonomy="true" ma:internalName="d550cdcf47da45a49a410f8f6b7b2e08" ma:taxonomyFieldName="Market" ma:displayName="Market" ma:readOnly="false" ma:default="" ma:fieldId="{d550cdcf-47da-45a4-9a41-0f8f6b7b2e08}" ma:sspId="75f3bec0-dff0-44ea-b4c0-494f6bf37501" ma:termSetId="ae22d045-4ba3-468e-a376-eb89c11876a3" ma:anchorId="00000000-0000-0000-0000-000000000000" ma:open="false" ma:isKeyword="false">
      <xsd:complexType>
        <xsd:sequence>
          <xsd:element ref="pc:Terms" minOccurs="0" maxOccurs="1"/>
        </xsd:sequence>
      </xsd:complexType>
    </xsd:element>
    <xsd:element name="le810d0f6f6242b486cf32bd938c51ea" ma:index="31" nillable="true" ma:taxonomy="true" ma:internalName="le810d0f6f6242b486cf32bd938c51ea" ma:taxonomyFieldName="Product_x002f__x0020_Brand" ma:displayName="Product/ Brand" ma:readOnly="false" ma:default="" ma:fieldId="{5e810d0f-6f62-42b4-86cf-32bd938c51ea}" ma:taxonomyMulti="true" ma:sspId="75f3bec0-dff0-44ea-b4c0-494f6bf37501" ma:termSetId="1499343f-d07f-4c5b-ae63-20971c76be98" ma:anchorId="00000000-0000-0000-0000-000000000000" ma:open="false" ma:isKeyword="false">
      <xsd:complexType>
        <xsd:sequence>
          <xsd:element ref="pc:Terms" minOccurs="0" maxOccurs="1"/>
        </xsd:sequence>
      </xsd:complexType>
    </xsd:element>
    <xsd:element name="g5b27afc9017479f8a298f71a7b9d1ce" ma:index="33" nillable="true" ma:taxonomy="true" ma:internalName="g5b27afc9017479f8a298f71a7b9d1ce" ma:taxonomyFieldName="Therapeutic_x0020_Area" ma:displayName="Therapeutic Area" ma:readOnly="false" ma:default="" ma:fieldId="{05b27afc-9017-479f-8a29-8f71a7b9d1ce}" ma:sspId="75f3bec0-dff0-44ea-b4c0-494f6bf37501" ma:termSetId="0d4caf05-2a01-46c4-b432-8ef23550d5fd" ma:anchorId="00000000-0000-0000-0000-000000000000" ma:open="false" ma:isKeyword="false">
      <xsd:complexType>
        <xsd:sequence>
          <xsd:element ref="pc:Terms" minOccurs="0" maxOccurs="1"/>
        </xsd:sequence>
      </xsd:complexType>
    </xsd:element>
    <xsd:element name="pfd70da4a55340c2aa6f54f9a8f1ac99" ma:index="34" nillable="true" ma:taxonomy="true" ma:internalName="pfd70da4a55340c2aa6f54f9a8f1ac99" ma:taxonomyFieldName="CA_x002d_Business_x002d_Units" ma:displayName="Business Units" ma:readOnly="false" ma:default="" ma:fieldId="{9fd70da4-a553-40c2-aa6f-54f9a8f1ac99}" ma:sspId="75f3bec0-dff0-44ea-b4c0-494f6bf37501" ma:termSetId="b79727f0-5b06-4aa8-bbe2-c975a46f68e0" ma:anchorId="00000000-0000-0000-0000-000000000000" ma:open="false" ma:isKeyword="false">
      <xsd:complexType>
        <xsd:sequence>
          <xsd:element ref="pc:Terms" minOccurs="0" maxOccurs="1"/>
        </xsd:sequence>
      </xsd:complexType>
    </xsd:element>
    <xsd:element name="b774691e17904fd29865b4a3a167f6f7" ma:index="35" nillable="true" ma:displayName="Access_x0020_Type_0" ma:hidden="true" ma:internalName="b774691e17904fd29865b4a3a167f6f7">
      <xsd:simpleType>
        <xsd:restriction base="dms:Note"/>
      </xsd:simpleType>
    </xsd:element>
    <xsd:element name="ia0e769a780b4d4ebf0f9d29ba16b063" ma:index="36" nillable="true" ma:displayName="Indication_1" ma:hidden="true" ma:internalName="ia0e769a780b4d4ebf0f9d29ba16b063">
      <xsd:simpleType>
        <xsd:restriction base="dms:Note"/>
      </xsd:simpleType>
    </xsd:element>
    <xsd:element name="MediaServiceMetadata" ma:index="42" nillable="true" ma:displayName="MediaServiceMetadata" ma:hidden="true" ma:internalName="MediaServiceMetadata" ma:readOnly="true">
      <xsd:simpleType>
        <xsd:restriction base="dms:Note"/>
      </xsd:simpleType>
    </xsd:element>
    <xsd:element name="MediaServiceFastMetadata" ma:index="43" nillable="true" ma:displayName="MediaServiceFastMetadata" ma:hidden="true" ma:internalName="MediaServiceFastMetadata" ma:readOnly="true">
      <xsd:simpleType>
        <xsd:restriction base="dms:Note"/>
      </xsd:simpleType>
    </xsd:element>
    <xsd:element name="MediaServiceDateTaken" ma:index="44" nillable="true" ma:displayName="MediaServiceDateTaken" ma:hidden="true" ma:internalName="MediaServiceDateTaken" ma:readOnly="true">
      <xsd:simpleType>
        <xsd:restriction base="dms:Text"/>
      </xsd:simpleType>
    </xsd:element>
    <xsd:element name="MediaServiceAutoKeyPoints" ma:index="45" nillable="true" ma:displayName="MediaServiceAutoKeyPoints" ma:hidden="true" ma:internalName="MediaServiceAutoKeyPoints" ma:readOnly="true">
      <xsd:simpleType>
        <xsd:restriction base="dms:Note"/>
      </xsd:simpleType>
    </xsd:element>
    <xsd:element name="MediaServiceKeyPoints" ma:index="4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1" ma:displayName="コンテンツ タイプ"/>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54a256c0c3345278c38030f865ea850 xmlns="ffb9abc9-8c49-474a-b8d5-bdc06e9ec9a2">
      <Terms xmlns="http://schemas.microsoft.com/office/infopath/2007/PartnerControls"/>
    </l54a256c0c3345278c38030f865ea850>
    <g70981765b9848389334e828d5ffd3ee xmlns="c93b7add-9709-4bf6-b763-96f254727f6c">
      <Terms xmlns="http://schemas.microsoft.com/office/infopath/2007/PartnerControls"/>
    </g70981765b9848389334e828d5ffd3ee>
    <ia0e769a780b4d4ebf0f9d29ba16b063 xmlns="ffb9abc9-8c49-474a-b8d5-bdc06e9ec9a2" xsi:nil="true"/>
    <Document_x005f_x0020_Champion xmlns="C93B7ADD-9709-4BF6-B763-96F254727F6C">
      <UserInfo>
        <DisplayName/>
        <AccountId xsi:nil="true"/>
        <AccountType/>
      </UserInfo>
    </Document_x005f_x0020_Champion>
    <i7e3a726937945c0b55fd8a84d1eb519 xmlns="c93b7add-9709-4bf6-b763-96f254727f6c">
      <Terms xmlns="http://schemas.microsoft.com/office/infopath/2007/PartnerControls"/>
    </i7e3a726937945c0b55fd8a84d1eb519>
    <p4f8290b47e843c5a899e891616f49ab xmlns="c93b7add-9709-4bf6-b763-96f254727f6c">
      <Terms xmlns="http://schemas.microsoft.com/office/infopath/2007/PartnerControls"/>
    </p4f8290b47e843c5a899e891616f49ab>
    <Description xmlns="http://schemas.microsoft.com/sharepoint/v3/fields" xsi:nil="true"/>
    <obdad211ae7b400284dd94ad9a34a32d xmlns="c93b7add-9709-4bf6-b763-96f254727f6c">
      <Terms xmlns="http://schemas.microsoft.com/office/infopath/2007/PartnerControls"/>
    </obdad211ae7b400284dd94ad9a34a32d>
    <k3c04b898cb84412b61f4a5fa909f33a xmlns="c93b7add-9709-4bf6-b763-96f254727f6c">
      <Terms xmlns="http://schemas.microsoft.com/office/infopath/2007/PartnerControls"/>
    </k3c04b898cb84412b61f4a5fa909f33a>
    <f6bbb64cce2142a9be3972dedfc49d09 xmlns="ffb9abc9-8c49-474a-b8d5-bdc06e9ec9a2">
      <Terms xmlns="http://schemas.microsoft.com/office/infopath/2007/PartnerControls"/>
    </f6bbb64cce2142a9be3972dedfc49d09>
    <le810d0f6f6242b486cf32bd938c51ea xmlns="ffb9abc9-8c49-474a-b8d5-bdc06e9ec9a2">
      <Terms xmlns="http://schemas.microsoft.com/office/infopath/2007/PartnerControls"/>
    </le810d0f6f6242b486cf32bd938c51ea>
    <pfd70da4a55340c2aa6f54f9a8f1ac99 xmlns="ffb9abc9-8c49-474a-b8d5-bdc06e9ec9a2">
      <Terms xmlns="http://schemas.microsoft.com/office/infopath/2007/PartnerControls"/>
    </pfd70da4a55340c2aa6f54f9a8f1ac99>
    <n330dedb03e34b2589c43ad463d07605 xmlns="c93b7add-9709-4bf6-b763-96f254727f6c">
      <Terms xmlns="http://schemas.microsoft.com/office/infopath/2007/PartnerControls"/>
    </n330dedb03e34b2589c43ad463d07605>
    <Notes1 xmlns="C93B7ADD-9709-4BF6-B763-96F254727F6C" xsi:nil="true"/>
    <d550cdcf47da45a49a410f8f6b7b2e08 xmlns="ffb9abc9-8c49-474a-b8d5-bdc06e9ec9a2">
      <Terms xmlns="http://schemas.microsoft.com/office/infopath/2007/PartnerControls"/>
    </d550cdcf47da45a49a410f8f6b7b2e08>
    <f1334376777a4fe79e5e9508c349bf3e xmlns="c93b7add-9709-4bf6-b763-96f254727f6c">
      <Terms xmlns="http://schemas.microsoft.com/office/infopath/2007/PartnerControls"/>
    </f1334376777a4fe79e5e9508c349bf3e>
    <b774691e17904fd29865b4a3a167f6f7 xmlns="ffb9abc9-8c49-474a-b8d5-bdc06e9ec9a2" xsi:nil="true"/>
    <TaxCatchAll xmlns="c93b7add-9709-4bf6-b763-96f254727f6c"/>
    <g5b27afc9017479f8a298f71a7b9d1ce xmlns="ffb9abc9-8c49-474a-b8d5-bdc06e9ec9a2">
      <Terms xmlns="http://schemas.microsoft.com/office/infopath/2007/PartnerControls"/>
    </g5b27afc9017479f8a298f71a7b9d1ce>
  </documentManagement>
</p:properties>
</file>

<file path=customXml/itemProps1.xml><?xml version="1.0" encoding="utf-8"?>
<ds:datastoreItem xmlns:ds="http://schemas.openxmlformats.org/officeDocument/2006/customXml" ds:itemID="{6D8132DE-F6BA-443C-9BF4-9DFD2BB87E66}"/>
</file>

<file path=customXml/itemProps2.xml><?xml version="1.0" encoding="utf-8"?>
<ds:datastoreItem xmlns:ds="http://schemas.openxmlformats.org/officeDocument/2006/customXml" ds:itemID="{9712CA58-1015-4A94-A863-23E67382987C}"/>
</file>

<file path=customXml/itemProps3.xml><?xml version="1.0" encoding="utf-8"?>
<ds:datastoreItem xmlns:ds="http://schemas.openxmlformats.org/officeDocument/2006/customXml" ds:itemID="{C7540608-C576-4F36-A266-61781F5CC87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CR_Summary</vt:lpstr>
      <vt:lpstr>Requirement</vt:lpstr>
      <vt:lpstr>DEL</vt:lpstr>
      <vt:lpstr>Indication 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2020-09-15T12:52:13Z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0x010100F29EE3A8541FD84E839C1BF6BC27F486009480CDEB9BE0C74BA589BA65094B053F</vt:lpwstr>
  </property>
</Properties>
</file>