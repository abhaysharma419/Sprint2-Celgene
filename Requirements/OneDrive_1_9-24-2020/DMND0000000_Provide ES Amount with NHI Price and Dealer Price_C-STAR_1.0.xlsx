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3040" windowHeight="10380" activeTab="1"/>
  </bookViews>
  <sheets>
    <sheet name="CR_Summary" sheetId="2" r:id="rId1"/>
    <sheet name="Requirement" sheetId="3" r:id="rId2"/>
    <sheet name="Assumption" sheetId="43" r:id="rId3"/>
    <sheet name="Input Data" sheetId="44" r:id="rId4"/>
    <sheet name="Indication Dropdowns" sheetId="16" state="hidden" r:id="rId5"/>
  </sheets>
  <definedNames>
    <definedName name="_xlnm._FilterDatabase" localSheetId="1" hidden="1">Requirement!$B$1:$E$134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3" l="1"/>
  <c r="A5" i="3"/>
  <c r="A6" i="3"/>
  <c r="A7" i="3"/>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B13" i="3" l="1"/>
  <c r="B12" i="3"/>
  <c r="A3" i="3" l="1"/>
  <c r="B5" i="3"/>
  <c r="B4" i="3"/>
  <c r="B3" i="3"/>
  <c r="B39" i="3" l="1"/>
  <c r="B71" i="3"/>
  <c r="B24" i="3"/>
  <c r="B41" i="3"/>
  <c r="B61" i="3"/>
  <c r="B26" i="3"/>
  <c r="B49" i="3"/>
  <c r="B18" i="3"/>
  <c r="B34" i="3"/>
  <c r="B45" i="3"/>
  <c r="B57" i="3"/>
  <c r="B55" i="3"/>
  <c r="B65" i="3"/>
  <c r="B30" i="3"/>
  <c r="B59" i="3"/>
  <c r="B69" i="3"/>
  <c r="B22" i="3"/>
  <c r="B43" i="3"/>
  <c r="B51" i="3"/>
  <c r="B67" i="3"/>
  <c r="B47" i="3"/>
  <c r="B32" i="3"/>
  <c r="B37" i="3"/>
  <c r="B28" i="3"/>
  <c r="B63" i="3"/>
  <c r="B53" i="3"/>
  <c r="B20" i="3"/>
  <c r="B16" i="3"/>
  <c r="B6" i="3"/>
  <c r="B145" i="3" l="1"/>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64" i="3"/>
  <c r="B48" i="3"/>
  <c r="B70" i="3"/>
  <c r="B46" i="3"/>
  <c r="B58" i="3"/>
  <c r="B29" i="3"/>
  <c r="B56" i="3"/>
  <c r="B60" i="3"/>
  <c r="B72" i="3"/>
  <c r="B66" i="3"/>
  <c r="B17" i="3"/>
  <c r="B52" i="3"/>
  <c r="B68" i="3"/>
  <c r="B62" i="3"/>
  <c r="B19" i="3"/>
  <c r="B23" i="3"/>
  <c r="B38" i="3"/>
  <c r="B40" i="3"/>
  <c r="B54" i="3"/>
  <c r="B27" i="3"/>
  <c r="B31" i="3"/>
  <c r="B44" i="3"/>
  <c r="B42" i="3"/>
  <c r="B50" i="3"/>
  <c r="B21" i="3"/>
  <c r="B33" i="3"/>
  <c r="B36" i="3"/>
  <c r="B35" i="3"/>
  <c r="B25" i="3"/>
  <c r="B15" i="3"/>
  <c r="B7" i="3"/>
  <c r="B2" i="3"/>
  <c r="B8" i="3" l="1"/>
  <c r="B9" i="3" l="1"/>
  <c r="B10" i="3" l="1"/>
  <c r="B11" i="3"/>
  <c r="B14" i="3"/>
  <c r="A134" i="3" l="1"/>
  <c r="A135" i="3" s="1"/>
  <c r="A136" i="3" s="1"/>
  <c r="A137" i="3" s="1"/>
  <c r="A138" i="3" s="1"/>
  <c r="A139" i="3" s="1"/>
  <c r="A140" i="3" s="1"/>
  <c r="A141" i="3" s="1"/>
  <c r="A142" i="3" s="1"/>
  <c r="A143" i="3" s="1"/>
  <c r="A144" i="3" s="1"/>
  <c r="A145" i="3" s="1"/>
</calcChain>
</file>

<file path=xl/sharedStrings.xml><?xml version="1.0" encoding="utf-8"?>
<sst xmlns="http://schemas.openxmlformats.org/spreadsheetml/2006/main" count="122" uniqueCount="99">
  <si>
    <t>High</t>
  </si>
  <si>
    <t>Business Priority</t>
    <phoneticPr fontId="0"/>
  </si>
  <si>
    <t>Change Description</t>
    <phoneticPr fontId="0"/>
  </si>
  <si>
    <t>Change Name</t>
  </si>
  <si>
    <t>Requested Date</t>
    <phoneticPr fontId="0"/>
  </si>
  <si>
    <t>Impacted Report</t>
    <phoneticPr fontId="0"/>
  </si>
  <si>
    <t>Demand #</t>
  </si>
  <si>
    <t>Impacted Workstream</t>
    <phoneticPr fontId="0"/>
  </si>
  <si>
    <t>DMND0000000</t>
  </si>
  <si>
    <t>#</t>
    <phoneticPr fontId="0"/>
  </si>
  <si>
    <t>Requirement ID</t>
    <phoneticPr fontId="0"/>
  </si>
  <si>
    <t>System</t>
    <phoneticPr fontId="0"/>
  </si>
  <si>
    <t>Report Name</t>
    <phoneticPr fontId="0"/>
  </si>
  <si>
    <t>Description</t>
    <phoneticPr fontId="0"/>
  </si>
  <si>
    <t>-</t>
  </si>
  <si>
    <t>REV MM</t>
  </si>
  <si>
    <t>POM</t>
  </si>
  <si>
    <t>EM</t>
  </si>
  <si>
    <t>REV FL</t>
  </si>
  <si>
    <t>REV ATL</t>
  </si>
  <si>
    <t>IST</t>
  </si>
  <si>
    <t>SP</t>
  </si>
  <si>
    <t>REV MDS</t>
  </si>
  <si>
    <t>IO HL</t>
  </si>
  <si>
    <t>Suggested dropdown list order:</t>
  </si>
  <si>
    <t>ONC1</t>
  </si>
  <si>
    <t>IO LC</t>
  </si>
  <si>
    <t>IO RCC</t>
  </si>
  <si>
    <t>OP RCC</t>
  </si>
  <si>
    <t>OPYV RCC</t>
  </si>
  <si>
    <t>IO HN</t>
  </si>
  <si>
    <t>ONC2</t>
  </si>
  <si>
    <t>IO GC</t>
  </si>
  <si>
    <t>IO EC</t>
  </si>
  <si>
    <t>IO CRC</t>
  </si>
  <si>
    <t>OP CRC</t>
  </si>
  <si>
    <t>* according to OPYV CRC launch</t>
  </si>
  <si>
    <t>OPYV CRC</t>
  </si>
  <si>
    <t>IO MELA</t>
  </si>
  <si>
    <t>OP MELA</t>
  </si>
  <si>
    <t>OPYV MELA</t>
  </si>
  <si>
    <t>ONC1,ONC2</t>
  </si>
  <si>
    <t>YV</t>
  </si>
  <si>
    <t>IM</t>
  </si>
  <si>
    <t>EQ</t>
  </si>
  <si>
    <t>OR</t>
  </si>
  <si>
    <t>HEMA</t>
  </si>
  <si>
    <t>C-SCAN</t>
    <phoneticPr fontId="15"/>
  </si>
  <si>
    <t>Recalculate hBMS ES Amount using NHI Price against both historical data and current month</t>
    <phoneticPr fontId="15"/>
  </si>
  <si>
    <t>Input to C-SCAN</t>
    <phoneticPr fontId="15"/>
  </si>
  <si>
    <t>Data</t>
    <phoneticPr fontId="15"/>
  </si>
  <si>
    <t>Product</t>
    <phoneticPr fontId="15"/>
  </si>
  <si>
    <t>hBMS product</t>
    <phoneticPr fontId="15"/>
  </si>
  <si>
    <t>hCLG product</t>
    <phoneticPr fontId="15"/>
  </si>
  <si>
    <t>ES Plan</t>
    <phoneticPr fontId="15"/>
  </si>
  <si>
    <t>SP,EM,OP HL</t>
    <phoneticPr fontId="15"/>
  </si>
  <si>
    <t xml:space="preserve">hCLG product </t>
    <phoneticPr fontId="15"/>
  </si>
  <si>
    <t>ES EST</t>
    <phoneticPr fontId="15"/>
  </si>
  <si>
    <t>In case of Point-In-Time NHI Price basis, NHI should be taken from BRIDGE price master (M_HIN_KAKAKU)  in the following condition
HATSUDEN_YMD in T_OROSHI_HANBAI_RUISEKI_MEISAI
 between TEKIYO_START_YMD and TEKIYO_END_YMD in M_HIN_KAKAKU</t>
    <phoneticPr fontId="15"/>
  </si>
  <si>
    <t>Assumption</t>
    <phoneticPr fontId="0"/>
  </si>
  <si>
    <t>Historical EST will not be replaced with NHI based amount</t>
  </si>
  <si>
    <t>Business and IT should discuss timing to replace PLAN in 2020</t>
  </si>
  <si>
    <t>Following historical ES Plan until 2020 will be updated based on NHI price basis so that %P is consistent with NHI based ES Actual.
Region PLAN
District PLAN
Territory PLAN
Institution PLAN</t>
    <phoneticPr fontId="15"/>
  </si>
  <si>
    <t>2021 Onwards</t>
    <phoneticPr fontId="15"/>
  </si>
  <si>
    <t xml:space="preserve">NHI </t>
    <phoneticPr fontId="15"/>
  </si>
  <si>
    <t>NHI</t>
    <phoneticPr fontId="15"/>
  </si>
  <si>
    <t>n/a</t>
    <phoneticPr fontId="15"/>
  </si>
  <si>
    <t>Until 2020</t>
    <phoneticPr fontId="15"/>
  </si>
  <si>
    <t>NHI: Data is created based on NHI Price criteria</t>
    <phoneticPr fontId="15"/>
  </si>
  <si>
    <t>Wholesaler</t>
    <phoneticPr fontId="15"/>
  </si>
  <si>
    <t>Wholesaler: Data is created based on Wholesaler Price criteria</t>
    <phoneticPr fontId="15"/>
  </si>
  <si>
    <t>C-SCAN</t>
    <phoneticPr fontId="15"/>
  </si>
  <si>
    <t>Following ES Plan will be created based on NHI price basis from year 2021
Region PLAN
District PLAN
Territory PLAN
Institution PLAN</t>
    <phoneticPr fontId="15"/>
  </si>
  <si>
    <t>NHI (*1)</t>
    <phoneticPr fontId="15"/>
  </si>
  <si>
    <t>*1 ES Plan until 2020 will be updated based on NHI Price at the same timing of this enhancement release</t>
    <phoneticPr fontId="15"/>
  </si>
  <si>
    <t>C-STAR</t>
    <phoneticPr fontId="15"/>
  </si>
  <si>
    <t>Monthly ES Report</t>
    <phoneticPr fontId="15"/>
  </si>
  <si>
    <t>ES Summary Table</t>
    <phoneticPr fontId="15"/>
  </si>
  <si>
    <t>ES Trend Daily</t>
    <phoneticPr fontId="15"/>
  </si>
  <si>
    <t>ES Trend Monthly</t>
    <phoneticPr fontId="15"/>
  </si>
  <si>
    <t>ES Alliance</t>
    <phoneticPr fontId="15"/>
  </si>
  <si>
    <t>ES Region by District</t>
    <phoneticPr fontId="15"/>
  </si>
  <si>
    <t>ES by Account(Top 300)</t>
    <phoneticPr fontId="15"/>
  </si>
  <si>
    <t>ES by Account(All Institutions)</t>
    <phoneticPr fontId="15"/>
  </si>
  <si>
    <t># of Accounts</t>
    <phoneticPr fontId="15"/>
  </si>
  <si>
    <r>
      <t xml:space="preserve">Following metrics should be calculated based on </t>
    </r>
    <r>
      <rPr>
        <b/>
        <sz val="9"/>
        <rFont val="Arial"/>
        <family val="2"/>
      </rPr>
      <t>NHI price which is effective at the date of each sales transaction</t>
    </r>
    <r>
      <rPr>
        <sz val="9"/>
        <rFont val="Arial"/>
        <family val="2"/>
        <charset val="128"/>
      </rPr>
      <t>.(Point-in-time NHI Price)
[Current Month]
Cur Yr Act
Lst Yr Act
vs. Proj
% Change by Proj
vs. Bud
% Change by Bud
vs. Lst Yr Act
% Change by Lst Yr ACT
[YTD]
Cur Yr Act
Lst Yr Act
vs. Proj
% Change by Proj
vs. Bud
% Change by Bud
vs. Lst Yr Act
% Change by Lst Yr ACT
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</si>
  <si>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 xml:space="preserve">.(Point-in-time NHI Price) in </t>
    </r>
    <r>
      <rPr>
        <b/>
        <sz val="9"/>
        <rFont val="Arial"/>
        <family val="2"/>
      </rPr>
      <t>both HQ View and Finance View</t>
    </r>
    <r>
      <rPr>
        <sz val="9"/>
        <rFont val="Arial"/>
        <family val="2"/>
        <charset val="128"/>
      </rPr>
      <t xml:space="preserve">
</t>
    </r>
    <r>
      <rPr>
        <sz val="9"/>
        <rFont val="Arial"/>
        <family val="2"/>
      </rPr>
      <t>ACT of Prev Yr - Month
ACT of Prev Yr - To Date</t>
    </r>
    <r>
      <rPr>
        <sz val="9"/>
        <rFont val="Arial"/>
        <family val="2"/>
        <charset val="128"/>
      </rPr>
      <t xml:space="preserve">
</t>
    </r>
    <r>
      <rPr>
        <sz val="9"/>
        <rFont val="Arial"/>
        <family val="2"/>
      </rPr>
      <t>Actual Sales
P% vs Prev Year Growth
P% ACT vs Plan
P% ACT vs Projection
P% ACT vs Budget</t>
    </r>
    <r>
      <rPr>
        <sz val="9"/>
        <rFont val="Arial"/>
        <family val="2"/>
        <charset val="128"/>
      </rPr>
      <t xml:space="preserve">
</t>
    </r>
    <r>
      <rPr>
        <sz val="9"/>
        <rFont val="Arial"/>
        <family val="2"/>
      </rPr>
      <t>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</si>
  <si>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 xml:space="preserve">.(Point-in-time NHI Price) </t>
    </r>
    <r>
      <rPr>
        <sz val="9"/>
        <rFont val="Arial"/>
        <family val="2"/>
        <charset val="128"/>
      </rPr>
      <t xml:space="preserve">
</t>
    </r>
    <r>
      <rPr>
        <sz val="9"/>
        <rFont val="Arial"/>
        <family val="2"/>
      </rPr>
      <t xml:space="preserve">Progression %
% Avr Progress
Daily Average Sales
MTD Sales
Month and Sales
MTD P% Budget
MTD P% Projection
MTD P% Plan
Month end P% Budget
Month End P% Projection
Month End P% Plan
</t>
    </r>
    <r>
      <rPr>
        <sz val="9"/>
        <rFont val="Arial"/>
        <family val="2"/>
        <charset val="128"/>
      </rPr>
      <t xml:space="preserve">
</t>
    </r>
    <r>
      <rPr>
        <sz val="9"/>
        <rFont val="Arial"/>
        <family val="2"/>
      </rPr>
      <t>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</si>
  <si>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 xml:space="preserve">.(Point-in-time NHI Price) in </t>
    </r>
    <r>
      <rPr>
        <b/>
        <sz val="9"/>
        <rFont val="Arial"/>
        <family val="2"/>
      </rPr>
      <t>both HQ View and Finance View</t>
    </r>
    <r>
      <rPr>
        <sz val="9"/>
        <rFont val="Arial"/>
        <family val="2"/>
        <charset val="128"/>
      </rPr>
      <t xml:space="preserve">
</t>
    </r>
    <r>
      <rPr>
        <sz val="9"/>
        <rFont val="Arial"/>
        <family val="2"/>
      </rPr>
      <t xml:space="preserve">Current Year ACT (by Product and Total)
Last Year Act
Prior to Last Year ACT
P% ACT vs. Plan
P% ACT vs. Budget
P% ACT vs. Projection
P% Last Year ACT
P% Last Year ACT
P% Prior to Last Year ACT
</t>
    </r>
    <r>
      <rPr>
        <sz val="9"/>
        <rFont val="Arial"/>
        <family val="2"/>
        <charset val="128"/>
      </rPr>
      <t xml:space="preserve">
</t>
    </r>
    <r>
      <rPr>
        <sz val="9"/>
        <rFont val="Arial"/>
        <family val="2"/>
      </rPr>
      <t>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</si>
  <si>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.(Point-in-time NHI Price) 
Current Year ACT
Budget Gap
Last Year ACT
Last Year Act Gap
Prior to Last Year
Pior to Act Gap
Alliance Budget Gap</t>
    </r>
    <r>
      <rPr>
        <sz val="9"/>
        <rFont val="Arial"/>
        <family val="2"/>
      </rPr>
      <t xml:space="preserve">
</t>
    </r>
    <r>
      <rPr>
        <sz val="9"/>
        <rFont val="Arial"/>
        <family val="2"/>
        <charset val="128"/>
      </rPr>
      <t xml:space="preserve">
</t>
    </r>
    <r>
      <rPr>
        <sz val="9"/>
        <rFont val="Arial"/>
        <family val="2"/>
      </rPr>
      <t>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</si>
  <si>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.(Point-in-time NHI Price) 
Current Month (By Product)
Last Year ACT
Prior to Last Year ACT
P% ACT vs. Plan
P% Last Year ACT
P% Prior to Last Year ACT</t>
    </r>
    <r>
      <rPr>
        <sz val="9"/>
        <rFont val="Arial"/>
        <family val="2"/>
      </rPr>
      <t xml:space="preserve">
</t>
    </r>
    <r>
      <rPr>
        <sz val="9"/>
        <rFont val="Arial"/>
        <family val="2"/>
        <charset val="128"/>
      </rPr>
      <t xml:space="preserve">
</t>
    </r>
    <r>
      <rPr>
        <sz val="9"/>
        <rFont val="Arial"/>
        <family val="2"/>
      </rPr>
      <t>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</si>
  <si>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 xml:space="preserve">.(Point-in-time NHI Price) 
[National Total]
Current-YTD Sales
Previous + Current YTD Sales
</t>
    </r>
    <r>
      <rPr>
        <sz val="9"/>
        <rFont val="ＭＳ Ｐゴシック"/>
        <family val="3"/>
        <charset val="128"/>
      </rPr>
      <t>▲</t>
    </r>
    <r>
      <rPr>
        <sz val="9"/>
        <rFont val="Arial"/>
        <family val="2"/>
        <charset val="128"/>
      </rPr>
      <t xml:space="preserve"> from yesterday
Daily Actual Sales (Daily View)
Monthly Actual Sales (Monthly View)
Quarterly Actual Salese (Quarterly View)
[Top 300 Accounts]
Current - YTD Sales 
Current - YTD Sales Rank 
Previous + YTD Sales 
Previous - YTD Sales Rank 
</t>
    </r>
    <r>
      <rPr>
        <sz val="9"/>
        <rFont val="ＭＳ Ｐゴシック"/>
        <family val="3"/>
        <charset val="128"/>
      </rPr>
      <t>▲</t>
    </r>
    <r>
      <rPr>
        <sz val="9"/>
        <rFont val="Arial"/>
        <family val="2"/>
        <charset val="128"/>
      </rPr>
      <t xml:space="preserve"> from yesterday 
Daily Actual Sales (Daily View)
Monthly Actual Sales (Monthly View)
Quarterly Actual Salese (Quarterly View)</t>
    </r>
    <r>
      <rPr>
        <sz val="9"/>
        <rFont val="Arial"/>
        <family val="2"/>
      </rPr>
      <t xml:space="preserve">
</t>
    </r>
    <r>
      <rPr>
        <sz val="9"/>
        <rFont val="Arial"/>
        <family val="2"/>
        <charset val="128"/>
      </rPr>
      <t xml:space="preserve">
</t>
    </r>
    <r>
      <rPr>
        <sz val="9"/>
        <rFont val="Arial"/>
        <family val="2"/>
      </rPr>
      <t>Calculation at NHI price should be applied to all products</t>
    </r>
    <phoneticPr fontId="15"/>
  </si>
  <si>
    <t>Provide ES Amount with NHI Price in C-STAR</t>
    <phoneticPr fontId="15"/>
  </si>
  <si>
    <t>As per business rule change in ES Reporting, all hBMS products and all hCLG products should show ES  Amount based on NHI Price in C-STAR</t>
    <phoneticPr fontId="15"/>
  </si>
  <si>
    <r>
      <t xml:space="preserve">Following metrics should be calculated based on </t>
    </r>
    <r>
      <rPr>
        <b/>
        <sz val="9"/>
        <rFont val="Arial"/>
        <family val="2"/>
      </rPr>
      <t>NHI price which is effective at the date of each sales transaction</t>
    </r>
    <r>
      <rPr>
        <sz val="9"/>
        <rFont val="Arial"/>
        <family val="2"/>
        <charset val="128"/>
      </rPr>
      <t xml:space="preserve">.(Point-in-time NHI Price) 
Current - YTD Sales 
Previous + Current YTD Sales
</t>
    </r>
    <r>
      <rPr>
        <sz val="9"/>
        <rFont val="ＭＳ Ｐゴシック"/>
        <family val="3"/>
        <charset val="128"/>
      </rPr>
      <t>▲</t>
    </r>
    <r>
      <rPr>
        <sz val="9"/>
        <rFont val="Arial"/>
        <family val="2"/>
        <charset val="128"/>
      </rPr>
      <t xml:space="preserve"> from yesterday 
Daily Actual Sales (Daily View)
Monthly Actual Sales (Monthly View)
Quarterly Actual Salese (Quarterly View)</t>
    </r>
    <r>
      <rPr>
        <sz val="9"/>
        <rFont val="Arial"/>
        <family val="2"/>
      </rPr>
      <t xml:space="preserve">
</t>
    </r>
    <r>
      <rPr>
        <sz val="9"/>
        <rFont val="Arial"/>
        <family val="2"/>
        <charset val="128"/>
      </rPr>
      <t xml:space="preserve">
</t>
    </r>
    <r>
      <rPr>
        <sz val="9"/>
        <rFont val="Arial"/>
        <family val="2"/>
      </rPr>
      <t>Calculation at NHI price should be applied to all products</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</si>
  <si>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 xml:space="preserve">.(Point-in-time NHI Price) 
[Institusions with ES]
MTD # of Institutions with ES
# of Institutions with ES Trend
[Accounts]
MTD # of Accounts
 Total# of Accounts
 # of New Accounts
 # of Carry-Over Accounts
 # of Lost Accounts
 Rotation Rate
# of Accounts Trend
 Total# of Accounts
 # of New Accounts
 # of Carry-Over Accounts
 # of Lost Accounts
 Rotation Rate  </t>
    </r>
    <phoneticPr fontId="15"/>
  </si>
  <si>
    <r>
      <t xml:space="preserve">Following metrics should be calculated based on </t>
    </r>
    <r>
      <rPr>
        <b/>
        <sz val="9"/>
        <rFont val="Arial"/>
        <family val="2"/>
      </rPr>
      <t>NHI price which is effective at the date of each sales transaction</t>
    </r>
    <r>
      <rPr>
        <sz val="9"/>
        <rFont val="Arial"/>
        <family val="2"/>
        <charset val="128"/>
      </rPr>
      <t>.(Point-in-time NHI Price) 
[Line chart]
Current Month Actual Sales
[Summary Table]
Last Year ACT
Current Year ACT
G% ACT vs Last Yr ACT
P% vs Plan
P% vs Proj
P% vs Budget</t>
    </r>
    <phoneticPr fontId="15"/>
  </si>
  <si>
    <t>Brand Summary
IO (LC)
IO (RCC)
IO (HN)
IO (GC)
IO (EC)
IO (CRC)
IO (Melanoma)
Eliquis
Orencia
HEMA MM
HEMA Lymphoma
HEMA MDS
HEMA ATL
HEMA CML
HEMA HL</t>
    <phoneticPr fontId="15"/>
  </si>
  <si>
    <t>Navigation to following ES Reports should pass correct parameter of brand name
ES Trend Daily
ES Trend Monthly
ES Alliance
ES Region by District
ES by Accounts (Top 300)
ES by Accounts (All Institutions)
# of Accounts</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</si>
</sst>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m\-yy;@"/>
  </numFmts>
  <fonts count="19" x14ac:knownFonts="1">
    <font>
      <sz val="11"/>
      <color theme="1"/>
      <name val="游ゴシック"/>
      <family val="2"/>
      <scheme val="minor"/>
    </font>
    <font>
      <sz val="11"/>
      <color theme="1"/>
      <name val="游ゴシック"/>
      <family val="2"/>
      <charset val="128"/>
      <scheme val="minor"/>
    </font>
    <font>
      <sz val="9"/>
      <color theme="1"/>
      <name val="Arial"/>
      <family val="2"/>
      <charset val="128"/>
    </font>
    <font>
      <sz val="10"/>
      <color theme="1"/>
      <name val="Arial"/>
      <family val="2"/>
    </font>
    <font>
      <i/>
      <sz val="10"/>
      <name val="Arial"/>
      <family val="2"/>
    </font>
    <font>
      <b/>
      <sz val="10"/>
      <color theme="1"/>
      <name val="Arial"/>
      <family val="2"/>
    </font>
    <font>
      <sz val="10"/>
      <color rgb="FF000000"/>
      <name val="Arial"/>
      <family val="2"/>
    </font>
    <font>
      <b/>
      <sz val="9"/>
      <name val="Arial"/>
      <family val="2"/>
    </font>
    <font>
      <sz val="9"/>
      <name val="Arial"/>
      <family val="2"/>
    </font>
    <font>
      <sz val="9"/>
      <color rgb="FFFF0000"/>
      <name val="Arial"/>
      <family val="2"/>
      <charset val="128"/>
    </font>
    <font>
      <sz val="9"/>
      <color rgb="FFFF0000"/>
      <name val="Arial"/>
      <family val="2"/>
    </font>
    <font>
      <sz val="11"/>
      <color theme="1"/>
      <name val="游ゴシック"/>
      <family val="2"/>
      <scheme val="minor"/>
    </font>
    <font>
      <sz val="11"/>
      <color theme="1"/>
      <name val="游ゴシック"/>
      <family val="2"/>
      <charset val="128"/>
      <scheme val="minor"/>
    </font>
    <font>
      <b/>
      <sz val="11"/>
      <color rgb="FFFF0000"/>
      <name val="游ゴシック"/>
      <family val="2"/>
      <scheme val="minor"/>
    </font>
    <font>
      <sz val="9"/>
      <name val="Arial"/>
      <family val="2"/>
      <charset val="128"/>
    </font>
    <font>
      <sz val="6"/>
      <name val="游ゴシック"/>
      <family val="3"/>
      <charset val="128"/>
      <scheme val="minor"/>
    </font>
    <font>
      <b/>
      <sz val="11"/>
      <color theme="1"/>
      <name val="Arial"/>
      <family val="2"/>
    </font>
    <font>
      <sz val="11"/>
      <color theme="1"/>
      <name val="Arial"/>
      <family val="2"/>
    </font>
    <font>
      <sz val="9"/>
      <name val="ＭＳ Ｐゴシック"/>
      <family val="3"/>
      <charset val="128"/>
    </font>
  </fonts>
  <fills count="9">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2" fillId="0" borderId="0">
      <alignment vertical="center"/>
    </xf>
    <xf numFmtId="0" fontId="11" fillId="0" borderId="0"/>
    <xf numFmtId="0" fontId="12" fillId="0" borderId="0"/>
    <xf numFmtId="0" fontId="1" fillId="0" borderId="0"/>
    <xf numFmtId="0" fontId="6" fillId="0" borderId="0">
      <alignment vertical="center"/>
    </xf>
  </cellStyleXfs>
  <cellXfs count="56">
    <xf numFmtId="0" fontId="0" fillId="0" borderId="0" xfId="0"/>
    <xf numFmtId="0" fontId="3" fillId="0" borderId="0" xfId="1" applyFont="1" applyFill="1" applyBorder="1" applyAlignment="1">
      <alignment vertical="top"/>
    </xf>
    <xf numFmtId="0" fontId="3" fillId="0" borderId="0" xfId="1" applyFont="1" applyFill="1" applyBorder="1" applyAlignment="1">
      <alignment vertical="top" wrapText="1"/>
    </xf>
    <xf numFmtId="0" fontId="5" fillId="0" borderId="1" xfId="1" applyFont="1" applyFill="1" applyBorder="1" applyAlignment="1">
      <alignment vertical="top" wrapText="1"/>
    </xf>
    <xf numFmtId="0" fontId="3" fillId="0" borderId="5" xfId="1" applyFont="1" applyFill="1" applyBorder="1" applyAlignment="1">
      <alignment vertical="top" wrapText="1"/>
    </xf>
    <xf numFmtId="0" fontId="3" fillId="0" borderId="6" xfId="1" applyFont="1" applyFill="1" applyBorder="1" applyAlignment="1">
      <alignment vertical="top" wrapText="1"/>
    </xf>
    <xf numFmtId="0" fontId="5" fillId="0" borderId="7" xfId="1" applyFont="1" applyFill="1" applyBorder="1" applyAlignment="1">
      <alignment vertical="top" wrapText="1"/>
    </xf>
    <xf numFmtId="176" fontId="3" fillId="0" borderId="1" xfId="1" applyNumberFormat="1" applyFont="1" applyFill="1" applyBorder="1" applyAlignment="1">
      <alignment vertical="top" wrapText="1"/>
    </xf>
    <xf numFmtId="0" fontId="3" fillId="0" borderId="1" xfId="1" applyFont="1" applyFill="1" applyBorder="1" applyAlignment="1">
      <alignment vertical="top" wrapText="1"/>
    </xf>
    <xf numFmtId="0" fontId="7" fillId="2" borderId="8" xfId="1" applyFont="1" applyFill="1" applyBorder="1" applyAlignment="1">
      <alignment vertical="top" wrapText="1"/>
    </xf>
    <xf numFmtId="0" fontId="2" fillId="0" borderId="0" xfId="1" applyAlignment="1">
      <alignment vertical="top" wrapText="1"/>
    </xf>
    <xf numFmtId="0" fontId="2" fillId="3" borderId="9" xfId="1" applyFill="1" applyBorder="1" applyAlignment="1">
      <alignment vertical="top" wrapText="1"/>
    </xf>
    <xf numFmtId="0" fontId="8" fillId="3" borderId="9" xfId="1" applyFont="1" applyFill="1" applyBorder="1" applyAlignment="1">
      <alignment vertical="top" wrapText="1"/>
    </xf>
    <xf numFmtId="0" fontId="8" fillId="0" borderId="9" xfId="1" applyFont="1" applyBorder="1" applyAlignment="1">
      <alignment vertical="top" wrapText="1"/>
    </xf>
    <xf numFmtId="0" fontId="8" fillId="0" borderId="9" xfId="1" applyFont="1" applyFill="1" applyBorder="1" applyAlignment="1">
      <alignment vertical="top" wrapText="1"/>
    </xf>
    <xf numFmtId="0" fontId="9" fillId="0" borderId="0" xfId="1" applyFont="1" applyAlignment="1">
      <alignment vertical="top" wrapText="1"/>
    </xf>
    <xf numFmtId="0" fontId="2" fillId="3" borderId="10" xfId="1" applyFill="1" applyBorder="1" applyAlignment="1">
      <alignment vertical="top" wrapText="1"/>
    </xf>
    <xf numFmtId="0" fontId="8" fillId="3" borderId="10" xfId="1" applyFont="1" applyFill="1" applyBorder="1" applyAlignment="1">
      <alignment vertical="top" wrapText="1"/>
    </xf>
    <xf numFmtId="0" fontId="8" fillId="0" borderId="10" xfId="1" applyFont="1" applyBorder="1" applyAlignment="1">
      <alignment vertical="top" wrapText="1"/>
    </xf>
    <xf numFmtId="0" fontId="8" fillId="0" borderId="10" xfId="1" applyFont="1" applyFill="1" applyBorder="1" applyAlignment="1">
      <alignment vertical="top" wrapText="1"/>
    </xf>
    <xf numFmtId="0" fontId="10" fillId="0" borderId="10" xfId="1" applyFont="1" applyFill="1" applyBorder="1" applyAlignment="1">
      <alignment vertical="top" wrapText="1"/>
    </xf>
    <xf numFmtId="0" fontId="1" fillId="0" borderId="0" xfId="4"/>
    <xf numFmtId="0" fontId="1" fillId="0" borderId="1" xfId="4" applyBorder="1"/>
    <xf numFmtId="0" fontId="1" fillId="0" borderId="0" xfId="4" applyAlignment="1">
      <alignment vertical="center"/>
    </xf>
    <xf numFmtId="0" fontId="13" fillId="0" borderId="0" xfId="4" applyFont="1"/>
    <xf numFmtId="0" fontId="1" fillId="0" borderId="1" xfId="4" applyBorder="1" applyAlignment="1">
      <alignment horizontal="center"/>
    </xf>
    <xf numFmtId="0" fontId="1" fillId="0" borderId="0" xfId="4" applyAlignment="1">
      <alignment horizontal="center"/>
    </xf>
    <xf numFmtId="0" fontId="1" fillId="4" borderId="1" xfId="4" applyFill="1" applyBorder="1"/>
    <xf numFmtId="0" fontId="14" fillId="0" borderId="10" xfId="1" applyFont="1" applyFill="1" applyBorder="1" applyAlignment="1">
      <alignment vertical="top" wrapText="1"/>
    </xf>
    <xf numFmtId="0" fontId="17" fillId="2" borderId="1" xfId="0" applyFont="1" applyFill="1" applyBorder="1"/>
    <xf numFmtId="0" fontId="17" fillId="2" borderId="11" xfId="0" applyFont="1" applyFill="1" applyBorder="1"/>
    <xf numFmtId="0" fontId="17" fillId="2" borderId="13" xfId="0" applyFont="1" applyFill="1" applyBorder="1"/>
    <xf numFmtId="0" fontId="17" fillId="2" borderId="12" xfId="0" applyFont="1" applyFill="1" applyBorder="1"/>
    <xf numFmtId="0" fontId="17" fillId="5" borderId="0" xfId="0" applyFont="1" applyFill="1" applyBorder="1"/>
    <xf numFmtId="0" fontId="0" fillId="5" borderId="0" xfId="0" applyFill="1"/>
    <xf numFmtId="0" fontId="17" fillId="5" borderId="0" xfId="0" applyFont="1" applyFill="1"/>
    <xf numFmtId="0" fontId="17" fillId="5" borderId="1" xfId="0" applyFont="1" applyFill="1" applyBorder="1"/>
    <xf numFmtId="0" fontId="8" fillId="2" borderId="1" xfId="1" applyFont="1" applyFill="1" applyBorder="1" applyAlignment="1">
      <alignment vertical="top" wrapText="1"/>
    </xf>
    <xf numFmtId="0" fontId="17" fillId="5" borderId="1" xfId="0" applyFont="1" applyFill="1" applyBorder="1" applyAlignment="1">
      <alignment wrapText="1"/>
    </xf>
    <xf numFmtId="0" fontId="17" fillId="6" borderId="1" xfId="0" applyFont="1" applyFill="1" applyBorder="1"/>
    <xf numFmtId="0" fontId="17" fillId="5" borderId="0" xfId="0" applyFont="1" applyFill="1" applyBorder="1" applyAlignment="1">
      <alignment horizontal="center"/>
    </xf>
    <xf numFmtId="0" fontId="16" fillId="5" borderId="0" xfId="0" applyFont="1" applyFill="1"/>
    <xf numFmtId="0" fontId="17" fillId="5" borderId="1" xfId="0" applyFont="1" applyFill="1" applyBorder="1" applyAlignment="1">
      <alignment horizontal="center"/>
    </xf>
    <xf numFmtId="0" fontId="17" fillId="2" borderId="1" xfId="0" applyFont="1" applyFill="1" applyBorder="1" applyAlignment="1">
      <alignment horizontal="center"/>
    </xf>
    <xf numFmtId="0" fontId="17" fillId="7" borderId="1" xfId="0" applyFont="1" applyFill="1" applyBorder="1"/>
    <xf numFmtId="0" fontId="17" fillId="8" borderId="1" xfId="0" applyFont="1" applyFill="1" applyBorder="1"/>
    <xf numFmtId="0" fontId="3" fillId="0" borderId="1" xfId="1" applyFont="1" applyFill="1" applyBorder="1" applyAlignment="1">
      <alignment vertical="top" wrapText="1"/>
    </xf>
    <xf numFmtId="0" fontId="4" fillId="0" borderId="1" xfId="1" applyFont="1" applyFill="1" applyBorder="1" applyAlignment="1">
      <alignment horizontal="left" vertical="top" wrapText="1"/>
    </xf>
    <xf numFmtId="0" fontId="3" fillId="5" borderId="4" xfId="1" applyFont="1" applyFill="1" applyBorder="1" applyAlignment="1">
      <alignment vertical="top" wrapText="1"/>
    </xf>
    <xf numFmtId="0" fontId="3" fillId="5" borderId="3" xfId="1" applyFont="1" applyFill="1" applyBorder="1" applyAlignment="1">
      <alignment vertical="top" wrapText="1"/>
    </xf>
    <xf numFmtId="0" fontId="3" fillId="5" borderId="2" xfId="1" applyFont="1" applyFill="1" applyBorder="1" applyAlignment="1">
      <alignment vertical="top" wrapText="1"/>
    </xf>
    <xf numFmtId="0" fontId="1" fillId="0" borderId="1" xfId="4" applyBorder="1" applyAlignment="1">
      <alignment horizontal="center" vertical="center"/>
    </xf>
    <xf numFmtId="0" fontId="1" fillId="0" borderId="11" xfId="4" applyBorder="1" applyAlignment="1">
      <alignment horizontal="center" vertical="center"/>
    </xf>
    <xf numFmtId="0" fontId="1" fillId="0" borderId="13" xfId="4" applyBorder="1" applyAlignment="1">
      <alignment horizontal="center" vertical="center"/>
    </xf>
    <xf numFmtId="0" fontId="1" fillId="0" borderId="12" xfId="4" applyBorder="1" applyAlignment="1">
      <alignment horizontal="center" vertical="center"/>
    </xf>
    <xf numFmtId="0" fontId="6" fillId="5" borderId="1" xfId="1" applyFont="1" applyFill="1" applyBorder="1" applyAlignment="1">
      <alignment vertical="top" wrapText="1"/>
    </xf>
  </cellXfs>
  <cellStyles count="6">
    <cellStyle name="Normal 2" xfId="1"/>
    <cellStyle name="Normal 3" xfId="3"/>
    <cellStyle name="Normal 4" xfId="4"/>
    <cellStyle name="標準" xfId="0" builtinId="0"/>
    <cellStyle name="標準 2" xfId="2"/>
    <cellStyle name="標準 3"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F7"/>
  <sheetViews>
    <sheetView showGridLines="0" workbookViewId="0">
      <selection activeCell="B6" sqref="B6:E6"/>
    </sheetView>
  </sheetViews>
  <sheetFormatPr defaultColWidth="9.09765625" defaultRowHeight="13.2" x14ac:dyDescent="0.45"/>
  <cols>
    <col min="1" max="1" width="1.69921875" style="1" customWidth="1"/>
    <col min="2" max="5" width="30.69921875" style="1" customWidth="1"/>
    <col min="6" max="6" width="43.3984375" style="1" customWidth="1"/>
    <col min="7" max="16384" width="9.09765625" style="1"/>
  </cols>
  <sheetData>
    <row r="2" spans="2:6" x14ac:dyDescent="0.45">
      <c r="B2" s="3" t="s">
        <v>7</v>
      </c>
      <c r="C2" s="8" t="s">
        <v>75</v>
      </c>
      <c r="D2" s="3" t="s">
        <v>6</v>
      </c>
      <c r="E2" s="55" t="s">
        <v>8</v>
      </c>
    </row>
    <row r="3" spans="2:6" x14ac:dyDescent="0.45">
      <c r="B3" s="3" t="s">
        <v>5</v>
      </c>
      <c r="C3" s="8" t="s">
        <v>14</v>
      </c>
      <c r="D3" s="3" t="s">
        <v>4</v>
      </c>
      <c r="E3" s="7">
        <v>44013</v>
      </c>
    </row>
    <row r="4" spans="2:6" ht="30.3" customHeight="1" x14ac:dyDescent="0.45">
      <c r="B4" s="3" t="s">
        <v>3</v>
      </c>
      <c r="C4" s="46" t="s">
        <v>92</v>
      </c>
      <c r="D4" s="46"/>
      <c r="E4" s="46"/>
    </row>
    <row r="5" spans="2:6" x14ac:dyDescent="0.45">
      <c r="B5" s="6" t="s">
        <v>2</v>
      </c>
      <c r="C5" s="5"/>
      <c r="D5" s="5"/>
      <c r="E5" s="4"/>
    </row>
    <row r="6" spans="2:6" ht="216" customHeight="1" x14ac:dyDescent="0.45">
      <c r="B6" s="48" t="s">
        <v>93</v>
      </c>
      <c r="C6" s="49"/>
      <c r="D6" s="49"/>
      <c r="E6" s="50"/>
    </row>
    <row r="7" spans="2:6" x14ac:dyDescent="0.45">
      <c r="B7" s="3" t="s">
        <v>1</v>
      </c>
      <c r="C7" s="47" t="s">
        <v>0</v>
      </c>
      <c r="D7" s="47"/>
      <c r="E7" s="47"/>
      <c r="F7" s="2"/>
    </row>
  </sheetData>
  <mergeCells count="3">
    <mergeCell ref="C4:E4"/>
    <mergeCell ref="C7:E7"/>
    <mergeCell ref="B6:E6"/>
  </mergeCells>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145"/>
  <sheetViews>
    <sheetView showGridLines="0" tabSelected="1" zoomScale="110" zoomScaleNormal="110" workbookViewId="0">
      <pane ySplit="1" topLeftCell="A2" activePane="bottomLeft" state="frozen"/>
      <selection pane="bottomLeft"/>
    </sheetView>
  </sheetViews>
  <sheetFormatPr defaultColWidth="9.09765625" defaultRowHeight="11.4" x14ac:dyDescent="0.45"/>
  <cols>
    <col min="1" max="1" width="3.69921875" style="10" customWidth="1"/>
    <col min="2" max="4" width="25.69921875" style="10" customWidth="1"/>
    <col min="5" max="5" width="80.69921875" style="10" customWidth="1"/>
    <col min="6" max="6" width="9.09765625" style="10"/>
    <col min="7" max="7" width="72" style="10" customWidth="1"/>
    <col min="8" max="16384" width="9.09765625" style="10"/>
  </cols>
  <sheetData>
    <row r="1" spans="1:6" ht="12.6" thickBot="1" x14ac:dyDescent="0.5">
      <c r="A1" s="9" t="s">
        <v>9</v>
      </c>
      <c r="B1" s="9" t="s">
        <v>10</v>
      </c>
      <c r="C1" s="9" t="s">
        <v>11</v>
      </c>
      <c r="D1" s="9" t="s">
        <v>12</v>
      </c>
      <c r="E1" s="9" t="s">
        <v>13</v>
      </c>
    </row>
    <row r="2" spans="1:6" ht="12" thickTop="1" x14ac:dyDescent="0.45">
      <c r="A2" s="11">
        <v>1</v>
      </c>
      <c r="B2" s="12" t="str">
        <f ca="1">IF($C2="","",INDIRECT("'CR_Summary'!E2")&amp;"_REQ_"&amp;TEXT($A2,"000"))</f>
        <v>DMND0000000_REQ_001</v>
      </c>
      <c r="C2" s="13" t="s">
        <v>47</v>
      </c>
      <c r="D2" s="13"/>
      <c r="E2" s="14" t="s">
        <v>48</v>
      </c>
      <c r="F2" s="15"/>
    </row>
    <row r="3" spans="1:6" ht="283.2" customHeight="1" x14ac:dyDescent="0.45">
      <c r="A3" s="16">
        <f>A2+1</f>
        <v>2</v>
      </c>
      <c r="B3" s="17" t="str">
        <f t="shared" ref="B3:B14" ca="1" si="0">IF($C3="","",INDIRECT("'CR_Summary'!E2")&amp;"_REQ_"&amp;TEXT($A3,"000"))</f>
        <v>DMND0000000_REQ_002</v>
      </c>
      <c r="C3" s="18" t="s">
        <v>75</v>
      </c>
      <c r="D3" s="18" t="s">
        <v>76</v>
      </c>
      <c r="E3" s="28" t="s">
        <v>85</v>
      </c>
      <c r="F3" s="15"/>
    </row>
    <row r="4" spans="1:6" ht="138" x14ac:dyDescent="0.45">
      <c r="A4" s="16">
        <f t="shared" ref="A4:A67" si="1">A3+1</f>
        <v>3</v>
      </c>
      <c r="B4" s="17" t="str">
        <f t="shared" ca="1" si="0"/>
        <v>DMND0000000_REQ_003</v>
      </c>
      <c r="C4" s="18" t="s">
        <v>75</v>
      </c>
      <c r="D4" s="18" t="s">
        <v>77</v>
      </c>
      <c r="E4" s="28" t="s">
        <v>86</v>
      </c>
      <c r="F4" s="15"/>
    </row>
    <row r="5" spans="1:6" ht="195" x14ac:dyDescent="0.45">
      <c r="A5" s="16">
        <f t="shared" si="1"/>
        <v>4</v>
      </c>
      <c r="B5" s="17" t="str">
        <f t="shared" ca="1" si="0"/>
        <v>DMND0000000_REQ_004</v>
      </c>
      <c r="C5" s="18" t="s">
        <v>75</v>
      </c>
      <c r="D5" s="18" t="s">
        <v>78</v>
      </c>
      <c r="E5" s="28" t="s">
        <v>87</v>
      </c>
      <c r="F5" s="15"/>
    </row>
    <row r="6" spans="1:6" ht="160.80000000000001" x14ac:dyDescent="0.45">
      <c r="A6" s="16">
        <f t="shared" si="1"/>
        <v>5</v>
      </c>
      <c r="B6" s="17" t="str">
        <f t="shared" ca="1" si="0"/>
        <v>DMND0000000_REQ_005</v>
      </c>
      <c r="C6" s="18" t="s">
        <v>75</v>
      </c>
      <c r="D6" s="18" t="s">
        <v>79</v>
      </c>
      <c r="E6" s="28" t="s">
        <v>88</v>
      </c>
      <c r="F6" s="15"/>
    </row>
    <row r="7" spans="1:6" ht="138" x14ac:dyDescent="0.45">
      <c r="A7" s="16">
        <f t="shared" si="1"/>
        <v>6</v>
      </c>
      <c r="B7" s="17" t="str">
        <f t="shared" ca="1" si="0"/>
        <v>DMND0000000_REQ_006</v>
      </c>
      <c r="C7" s="18" t="s">
        <v>75</v>
      </c>
      <c r="D7" s="18" t="s">
        <v>80</v>
      </c>
      <c r="E7" s="28" t="s">
        <v>89</v>
      </c>
      <c r="F7" s="15"/>
    </row>
    <row r="8" spans="1:6" ht="126.6" x14ac:dyDescent="0.45">
      <c r="A8" s="16">
        <f t="shared" si="1"/>
        <v>7</v>
      </c>
      <c r="B8" s="17" t="str">
        <f t="shared" ca="1" si="0"/>
        <v>DMND0000000_REQ_007</v>
      </c>
      <c r="C8" s="18" t="s">
        <v>75</v>
      </c>
      <c r="D8" s="18" t="s">
        <v>81</v>
      </c>
      <c r="E8" s="28" t="s">
        <v>90</v>
      </c>
      <c r="F8" s="15"/>
    </row>
    <row r="9" spans="1:6" ht="263.39999999999998" x14ac:dyDescent="0.45">
      <c r="A9" s="16">
        <f t="shared" si="1"/>
        <v>8</v>
      </c>
      <c r="B9" s="17" t="str">
        <f t="shared" ca="1" si="0"/>
        <v>DMND0000000_REQ_008</v>
      </c>
      <c r="C9" s="18" t="s">
        <v>75</v>
      </c>
      <c r="D9" s="18" t="s">
        <v>82</v>
      </c>
      <c r="E9" s="28" t="s">
        <v>91</v>
      </c>
      <c r="F9" s="15"/>
    </row>
    <row r="10" spans="1:6" ht="126.6" x14ac:dyDescent="0.45">
      <c r="A10" s="16">
        <f t="shared" si="1"/>
        <v>9</v>
      </c>
      <c r="B10" s="17" t="str">
        <f t="shared" ca="1" si="0"/>
        <v>DMND0000000_REQ_009</v>
      </c>
      <c r="C10" s="18" t="s">
        <v>75</v>
      </c>
      <c r="D10" s="18" t="s">
        <v>83</v>
      </c>
      <c r="E10" s="28" t="s">
        <v>94</v>
      </c>
      <c r="F10" s="15"/>
    </row>
    <row r="11" spans="1:6" ht="252" x14ac:dyDescent="0.45">
      <c r="A11" s="16">
        <f t="shared" si="1"/>
        <v>10</v>
      </c>
      <c r="B11" s="17" t="str">
        <f t="shared" ca="1" si="0"/>
        <v>DMND0000000_REQ_010</v>
      </c>
      <c r="C11" s="18" t="s">
        <v>75</v>
      </c>
      <c r="D11" s="18" t="s">
        <v>84</v>
      </c>
      <c r="E11" s="28" t="s">
        <v>95</v>
      </c>
      <c r="F11" s="15"/>
    </row>
    <row r="12" spans="1:6" ht="203.4" customHeight="1" x14ac:dyDescent="0.45">
      <c r="A12" s="16">
        <f t="shared" si="1"/>
        <v>11</v>
      </c>
      <c r="B12" s="17" t="str">
        <f t="shared" ca="1" si="0"/>
        <v>DMND0000000_REQ_011</v>
      </c>
      <c r="C12" s="18" t="s">
        <v>75</v>
      </c>
      <c r="D12" s="18" t="s">
        <v>97</v>
      </c>
      <c r="E12" s="28" t="s">
        <v>96</v>
      </c>
      <c r="F12" s="15"/>
    </row>
    <row r="13" spans="1:6" ht="193.8" x14ac:dyDescent="0.45">
      <c r="A13" s="16">
        <f t="shared" si="1"/>
        <v>12</v>
      </c>
      <c r="B13" s="17" t="str">
        <f t="shared" ca="1" si="0"/>
        <v>DMND0000000_REQ_012</v>
      </c>
      <c r="C13" s="18" t="s">
        <v>75</v>
      </c>
      <c r="D13" s="18" t="s">
        <v>97</v>
      </c>
      <c r="E13" s="28" t="s">
        <v>98</v>
      </c>
      <c r="F13" s="15"/>
    </row>
    <row r="14" spans="1:6" ht="57" x14ac:dyDescent="0.45">
      <c r="A14" s="16">
        <f t="shared" si="1"/>
        <v>13</v>
      </c>
      <c r="B14" s="17" t="str">
        <f t="shared" ca="1" si="0"/>
        <v>DMND0000000_REQ_013</v>
      </c>
      <c r="C14" s="18" t="s">
        <v>71</v>
      </c>
      <c r="D14" s="18"/>
      <c r="E14" s="28" t="s">
        <v>58</v>
      </c>
      <c r="F14" s="15"/>
    </row>
    <row r="15" spans="1:6" x14ac:dyDescent="0.45">
      <c r="A15" s="16">
        <f t="shared" si="1"/>
        <v>14</v>
      </c>
      <c r="B15" s="17" t="str">
        <f t="shared" ref="B15:B105" ca="1" si="2">IF($C15="","",INDIRECT("'CR_Summary'!E2")&amp;"_REQ_"&amp;TEXT($A15,"000"))</f>
        <v/>
      </c>
      <c r="C15" s="18"/>
      <c r="D15" s="18"/>
      <c r="E15" s="28"/>
    </row>
    <row r="16" spans="1:6" x14ac:dyDescent="0.45">
      <c r="A16" s="16">
        <f t="shared" si="1"/>
        <v>15</v>
      </c>
      <c r="B16" s="17" t="str">
        <f t="shared" ca="1" si="2"/>
        <v/>
      </c>
      <c r="C16" s="18"/>
      <c r="D16" s="18"/>
      <c r="E16" s="28"/>
    </row>
    <row r="17" spans="1:5" x14ac:dyDescent="0.45">
      <c r="A17" s="16">
        <f t="shared" si="1"/>
        <v>16</v>
      </c>
      <c r="B17" s="17" t="str">
        <f t="shared" ca="1" si="2"/>
        <v/>
      </c>
      <c r="C17" s="18"/>
      <c r="D17" s="18"/>
      <c r="E17" s="19"/>
    </row>
    <row r="18" spans="1:5" x14ac:dyDescent="0.45">
      <c r="A18" s="16">
        <f t="shared" si="1"/>
        <v>17</v>
      </c>
      <c r="B18" s="17" t="str">
        <f t="shared" ca="1" si="2"/>
        <v/>
      </c>
      <c r="C18" s="18"/>
      <c r="D18" s="18"/>
      <c r="E18" s="28"/>
    </row>
    <row r="19" spans="1:5" x14ac:dyDescent="0.45">
      <c r="A19" s="16">
        <f t="shared" si="1"/>
        <v>18</v>
      </c>
      <c r="B19" s="17" t="str">
        <f t="shared" ca="1" si="2"/>
        <v/>
      </c>
      <c r="C19" s="18"/>
      <c r="D19" s="18"/>
      <c r="E19" s="19"/>
    </row>
    <row r="20" spans="1:5" x14ac:dyDescent="0.45">
      <c r="A20" s="16">
        <f t="shared" si="1"/>
        <v>19</v>
      </c>
      <c r="B20" s="17" t="str">
        <f t="shared" ca="1" si="2"/>
        <v/>
      </c>
      <c r="C20" s="18"/>
      <c r="D20" s="18"/>
      <c r="E20" s="28"/>
    </row>
    <row r="21" spans="1:5" x14ac:dyDescent="0.45">
      <c r="A21" s="16">
        <f t="shared" si="1"/>
        <v>20</v>
      </c>
      <c r="B21" s="17" t="str">
        <f t="shared" ca="1" si="2"/>
        <v/>
      </c>
      <c r="C21" s="18"/>
      <c r="D21" s="18"/>
      <c r="E21" s="19"/>
    </row>
    <row r="22" spans="1:5" x14ac:dyDescent="0.45">
      <c r="A22" s="16">
        <f t="shared" si="1"/>
        <v>21</v>
      </c>
      <c r="B22" s="17" t="str">
        <f t="shared" ca="1" si="2"/>
        <v/>
      </c>
      <c r="C22" s="18"/>
      <c r="D22" s="18"/>
      <c r="E22" s="28"/>
    </row>
    <row r="23" spans="1:5" x14ac:dyDescent="0.45">
      <c r="A23" s="16">
        <f t="shared" si="1"/>
        <v>22</v>
      </c>
      <c r="B23" s="17" t="str">
        <f t="shared" ca="1" si="2"/>
        <v/>
      </c>
      <c r="C23" s="18"/>
      <c r="D23" s="18"/>
      <c r="E23" s="19"/>
    </row>
    <row r="24" spans="1:5" x14ac:dyDescent="0.45">
      <c r="A24" s="16">
        <f t="shared" si="1"/>
        <v>23</v>
      </c>
      <c r="B24" s="17" t="str">
        <f t="shared" ca="1" si="2"/>
        <v/>
      </c>
      <c r="C24" s="18"/>
      <c r="D24" s="18"/>
      <c r="E24" s="28"/>
    </row>
    <row r="25" spans="1:5" x14ac:dyDescent="0.45">
      <c r="A25" s="16">
        <f t="shared" si="1"/>
        <v>24</v>
      </c>
      <c r="B25" s="17" t="str">
        <f t="shared" ca="1" si="2"/>
        <v/>
      </c>
      <c r="C25" s="18"/>
      <c r="D25" s="18"/>
      <c r="E25" s="19"/>
    </row>
    <row r="26" spans="1:5" x14ac:dyDescent="0.45">
      <c r="A26" s="16">
        <f t="shared" si="1"/>
        <v>25</v>
      </c>
      <c r="B26" s="17" t="str">
        <f t="shared" ca="1" si="2"/>
        <v/>
      </c>
      <c r="C26" s="18"/>
      <c r="D26" s="18"/>
      <c r="E26" s="28"/>
    </row>
    <row r="27" spans="1:5" x14ac:dyDescent="0.45">
      <c r="A27" s="16">
        <f t="shared" si="1"/>
        <v>26</v>
      </c>
      <c r="B27" s="17" t="str">
        <f t="shared" ca="1" si="2"/>
        <v/>
      </c>
      <c r="C27" s="18"/>
      <c r="D27" s="18"/>
      <c r="E27" s="19"/>
    </row>
    <row r="28" spans="1:5" x14ac:dyDescent="0.45">
      <c r="A28" s="16">
        <f t="shared" si="1"/>
        <v>27</v>
      </c>
      <c r="B28" s="17" t="str">
        <f t="shared" ca="1" si="2"/>
        <v/>
      </c>
      <c r="C28" s="18"/>
      <c r="D28" s="18"/>
      <c r="E28" s="28"/>
    </row>
    <row r="29" spans="1:5" x14ac:dyDescent="0.45">
      <c r="A29" s="16">
        <f t="shared" si="1"/>
        <v>28</v>
      </c>
      <c r="B29" s="17" t="str">
        <f t="shared" ca="1" si="2"/>
        <v/>
      </c>
      <c r="C29" s="18"/>
      <c r="D29" s="18"/>
      <c r="E29" s="19"/>
    </row>
    <row r="30" spans="1:5" x14ac:dyDescent="0.45">
      <c r="A30" s="16">
        <f t="shared" si="1"/>
        <v>29</v>
      </c>
      <c r="B30" s="17" t="str">
        <f t="shared" ca="1" si="2"/>
        <v/>
      </c>
      <c r="C30" s="18"/>
      <c r="D30" s="18"/>
      <c r="E30" s="28"/>
    </row>
    <row r="31" spans="1:5" x14ac:dyDescent="0.45">
      <c r="A31" s="16">
        <f t="shared" si="1"/>
        <v>30</v>
      </c>
      <c r="B31" s="17" t="str">
        <f t="shared" ca="1" si="2"/>
        <v/>
      </c>
      <c r="C31" s="18"/>
      <c r="D31" s="18"/>
      <c r="E31" s="19"/>
    </row>
    <row r="32" spans="1:5" x14ac:dyDescent="0.45">
      <c r="A32" s="16">
        <f t="shared" si="1"/>
        <v>31</v>
      </c>
      <c r="B32" s="17" t="str">
        <f t="shared" ca="1" si="2"/>
        <v/>
      </c>
      <c r="C32" s="18"/>
      <c r="D32" s="18"/>
      <c r="E32" s="28"/>
    </row>
    <row r="33" spans="1:5" x14ac:dyDescent="0.45">
      <c r="A33" s="16">
        <f t="shared" si="1"/>
        <v>32</v>
      </c>
      <c r="B33" s="17" t="str">
        <f t="shared" ca="1" si="2"/>
        <v/>
      </c>
      <c r="C33" s="18"/>
      <c r="D33" s="18"/>
      <c r="E33" s="19"/>
    </row>
    <row r="34" spans="1:5" x14ac:dyDescent="0.45">
      <c r="A34" s="16">
        <f t="shared" si="1"/>
        <v>33</v>
      </c>
      <c r="B34" s="17" t="str">
        <f t="shared" ca="1" si="2"/>
        <v/>
      </c>
      <c r="C34" s="18"/>
      <c r="D34" s="18"/>
      <c r="E34" s="28"/>
    </row>
    <row r="35" spans="1:5" x14ac:dyDescent="0.45">
      <c r="A35" s="16">
        <f t="shared" si="1"/>
        <v>34</v>
      </c>
      <c r="B35" s="17" t="str">
        <f t="shared" ca="1" si="2"/>
        <v/>
      </c>
      <c r="C35" s="18"/>
      <c r="D35" s="18"/>
      <c r="E35" s="19"/>
    </row>
    <row r="36" spans="1:5" x14ac:dyDescent="0.45">
      <c r="A36" s="16">
        <f t="shared" si="1"/>
        <v>35</v>
      </c>
      <c r="B36" s="17" t="str">
        <f t="shared" ca="1" si="2"/>
        <v/>
      </c>
      <c r="C36" s="18"/>
      <c r="D36" s="18"/>
      <c r="E36" s="19"/>
    </row>
    <row r="37" spans="1:5" x14ac:dyDescent="0.45">
      <c r="A37" s="16">
        <f t="shared" si="1"/>
        <v>36</v>
      </c>
      <c r="B37" s="17" t="str">
        <f t="shared" ca="1" si="2"/>
        <v/>
      </c>
      <c r="C37" s="18"/>
      <c r="D37" s="18"/>
      <c r="E37" s="28"/>
    </row>
    <row r="38" spans="1:5" x14ac:dyDescent="0.45">
      <c r="A38" s="16">
        <f t="shared" si="1"/>
        <v>37</v>
      </c>
      <c r="B38" s="17" t="str">
        <f t="shared" ca="1" si="2"/>
        <v/>
      </c>
      <c r="C38" s="18"/>
      <c r="D38" s="18"/>
      <c r="E38" s="19"/>
    </row>
    <row r="39" spans="1:5" x14ac:dyDescent="0.45">
      <c r="A39" s="16">
        <f t="shared" si="1"/>
        <v>38</v>
      </c>
      <c r="B39" s="17" t="str">
        <f t="shared" ca="1" si="2"/>
        <v/>
      </c>
      <c r="C39" s="18"/>
      <c r="D39" s="18"/>
      <c r="E39" s="28"/>
    </row>
    <row r="40" spans="1:5" x14ac:dyDescent="0.45">
      <c r="A40" s="16">
        <f t="shared" si="1"/>
        <v>39</v>
      </c>
      <c r="B40" s="17" t="str">
        <f t="shared" ca="1" si="2"/>
        <v/>
      </c>
      <c r="C40" s="18"/>
      <c r="D40" s="18"/>
      <c r="E40" s="19"/>
    </row>
    <row r="41" spans="1:5" x14ac:dyDescent="0.45">
      <c r="A41" s="16">
        <f t="shared" si="1"/>
        <v>40</v>
      </c>
      <c r="B41" s="17" t="str">
        <f t="shared" ca="1" si="2"/>
        <v/>
      </c>
      <c r="C41" s="18"/>
      <c r="D41" s="18"/>
      <c r="E41" s="28"/>
    </row>
    <row r="42" spans="1:5" x14ac:dyDescent="0.45">
      <c r="A42" s="16">
        <f t="shared" si="1"/>
        <v>41</v>
      </c>
      <c r="B42" s="17" t="str">
        <f t="shared" ca="1" si="2"/>
        <v/>
      </c>
      <c r="C42" s="18"/>
      <c r="D42" s="18"/>
      <c r="E42" s="19"/>
    </row>
    <row r="43" spans="1:5" x14ac:dyDescent="0.45">
      <c r="A43" s="16">
        <f t="shared" si="1"/>
        <v>42</v>
      </c>
      <c r="B43" s="17" t="str">
        <f t="shared" ca="1" si="2"/>
        <v/>
      </c>
      <c r="C43" s="18"/>
      <c r="D43" s="18"/>
      <c r="E43" s="28"/>
    </row>
    <row r="44" spans="1:5" x14ac:dyDescent="0.45">
      <c r="A44" s="16">
        <f t="shared" si="1"/>
        <v>43</v>
      </c>
      <c r="B44" s="17" t="str">
        <f t="shared" ca="1" si="2"/>
        <v/>
      </c>
      <c r="C44" s="18"/>
      <c r="D44" s="18"/>
      <c r="E44" s="19"/>
    </row>
    <row r="45" spans="1:5" x14ac:dyDescent="0.45">
      <c r="A45" s="16">
        <f t="shared" si="1"/>
        <v>44</v>
      </c>
      <c r="B45" s="17" t="str">
        <f t="shared" ca="1" si="2"/>
        <v/>
      </c>
      <c r="C45" s="18"/>
      <c r="D45" s="18"/>
      <c r="E45" s="28"/>
    </row>
    <row r="46" spans="1:5" x14ac:dyDescent="0.45">
      <c r="A46" s="16">
        <f t="shared" si="1"/>
        <v>45</v>
      </c>
      <c r="B46" s="17" t="str">
        <f t="shared" ca="1" si="2"/>
        <v/>
      </c>
      <c r="C46" s="18"/>
      <c r="D46" s="18"/>
      <c r="E46" s="19"/>
    </row>
    <row r="47" spans="1:5" x14ac:dyDescent="0.45">
      <c r="A47" s="16">
        <f t="shared" si="1"/>
        <v>46</v>
      </c>
      <c r="B47" s="17" t="str">
        <f t="shared" ca="1" si="2"/>
        <v/>
      </c>
      <c r="C47" s="18"/>
      <c r="D47" s="18"/>
      <c r="E47" s="28"/>
    </row>
    <row r="48" spans="1:5" x14ac:dyDescent="0.45">
      <c r="A48" s="16">
        <f t="shared" si="1"/>
        <v>47</v>
      </c>
      <c r="B48" s="17" t="str">
        <f t="shared" ca="1" si="2"/>
        <v/>
      </c>
      <c r="C48" s="18"/>
      <c r="D48" s="18"/>
      <c r="E48" s="19"/>
    </row>
    <row r="49" spans="1:5" x14ac:dyDescent="0.45">
      <c r="A49" s="16">
        <f t="shared" si="1"/>
        <v>48</v>
      </c>
      <c r="B49" s="17" t="str">
        <f t="shared" ca="1" si="2"/>
        <v/>
      </c>
      <c r="C49" s="18"/>
      <c r="D49" s="18"/>
      <c r="E49" s="28"/>
    </row>
    <row r="50" spans="1:5" x14ac:dyDescent="0.45">
      <c r="A50" s="16">
        <f t="shared" si="1"/>
        <v>49</v>
      </c>
      <c r="B50" s="17" t="str">
        <f t="shared" ca="1" si="2"/>
        <v/>
      </c>
      <c r="C50" s="18"/>
      <c r="D50" s="18"/>
      <c r="E50" s="19"/>
    </row>
    <row r="51" spans="1:5" x14ac:dyDescent="0.45">
      <c r="A51" s="16">
        <f t="shared" si="1"/>
        <v>50</v>
      </c>
      <c r="B51" s="17" t="str">
        <f t="shared" ca="1" si="2"/>
        <v/>
      </c>
      <c r="C51" s="18"/>
      <c r="D51" s="18"/>
      <c r="E51" s="28"/>
    </row>
    <row r="52" spans="1:5" x14ac:dyDescent="0.45">
      <c r="A52" s="16">
        <f t="shared" si="1"/>
        <v>51</v>
      </c>
      <c r="B52" s="17" t="str">
        <f t="shared" ca="1" si="2"/>
        <v/>
      </c>
      <c r="C52" s="18"/>
      <c r="D52" s="18"/>
      <c r="E52" s="19"/>
    </row>
    <row r="53" spans="1:5" x14ac:dyDescent="0.45">
      <c r="A53" s="16">
        <f t="shared" si="1"/>
        <v>52</v>
      </c>
      <c r="B53" s="17" t="str">
        <f t="shared" ca="1" si="2"/>
        <v/>
      </c>
      <c r="C53" s="18"/>
      <c r="D53" s="18"/>
      <c r="E53" s="28"/>
    </row>
    <row r="54" spans="1:5" x14ac:dyDescent="0.45">
      <c r="A54" s="16">
        <f t="shared" si="1"/>
        <v>53</v>
      </c>
      <c r="B54" s="17" t="str">
        <f t="shared" ca="1" si="2"/>
        <v/>
      </c>
      <c r="C54" s="18"/>
      <c r="D54" s="18"/>
      <c r="E54" s="19"/>
    </row>
    <row r="55" spans="1:5" x14ac:dyDescent="0.45">
      <c r="A55" s="16">
        <f t="shared" si="1"/>
        <v>54</v>
      </c>
      <c r="B55" s="17" t="str">
        <f t="shared" ca="1" si="2"/>
        <v/>
      </c>
      <c r="C55" s="18"/>
      <c r="D55" s="18"/>
      <c r="E55" s="28"/>
    </row>
    <row r="56" spans="1:5" x14ac:dyDescent="0.45">
      <c r="A56" s="16">
        <f t="shared" si="1"/>
        <v>55</v>
      </c>
      <c r="B56" s="17" t="str">
        <f t="shared" ca="1" si="2"/>
        <v/>
      </c>
      <c r="C56" s="18"/>
      <c r="D56" s="18"/>
      <c r="E56" s="19"/>
    </row>
    <row r="57" spans="1:5" x14ac:dyDescent="0.45">
      <c r="A57" s="16">
        <f t="shared" si="1"/>
        <v>56</v>
      </c>
      <c r="B57" s="17" t="str">
        <f t="shared" ca="1" si="2"/>
        <v/>
      </c>
      <c r="C57" s="18"/>
      <c r="D57" s="18"/>
      <c r="E57" s="28"/>
    </row>
    <row r="58" spans="1:5" x14ac:dyDescent="0.45">
      <c r="A58" s="16">
        <f t="shared" si="1"/>
        <v>57</v>
      </c>
      <c r="B58" s="17" t="str">
        <f t="shared" ca="1" si="2"/>
        <v/>
      </c>
      <c r="C58" s="18"/>
      <c r="D58" s="18"/>
      <c r="E58" s="19"/>
    </row>
    <row r="59" spans="1:5" x14ac:dyDescent="0.45">
      <c r="A59" s="16">
        <f t="shared" si="1"/>
        <v>58</v>
      </c>
      <c r="B59" s="17" t="str">
        <f t="shared" ca="1" si="2"/>
        <v/>
      </c>
      <c r="C59" s="18"/>
      <c r="D59" s="18"/>
      <c r="E59" s="28"/>
    </row>
    <row r="60" spans="1:5" x14ac:dyDescent="0.45">
      <c r="A60" s="16">
        <f t="shared" si="1"/>
        <v>59</v>
      </c>
      <c r="B60" s="17" t="str">
        <f t="shared" ca="1" si="2"/>
        <v/>
      </c>
      <c r="C60" s="18"/>
      <c r="D60" s="18"/>
      <c r="E60" s="19"/>
    </row>
    <row r="61" spans="1:5" x14ac:dyDescent="0.45">
      <c r="A61" s="16">
        <f t="shared" si="1"/>
        <v>60</v>
      </c>
      <c r="B61" s="17" t="str">
        <f t="shared" ca="1" si="2"/>
        <v/>
      </c>
      <c r="C61" s="18"/>
      <c r="D61" s="18"/>
      <c r="E61" s="28"/>
    </row>
    <row r="62" spans="1:5" x14ac:dyDescent="0.45">
      <c r="A62" s="16">
        <f t="shared" si="1"/>
        <v>61</v>
      </c>
      <c r="B62" s="17" t="str">
        <f t="shared" ca="1" si="2"/>
        <v/>
      </c>
      <c r="C62" s="18"/>
      <c r="D62" s="18"/>
      <c r="E62" s="19"/>
    </row>
    <row r="63" spans="1:5" x14ac:dyDescent="0.45">
      <c r="A63" s="16">
        <f t="shared" si="1"/>
        <v>62</v>
      </c>
      <c r="B63" s="17" t="str">
        <f t="shared" ca="1" si="2"/>
        <v/>
      </c>
      <c r="C63" s="18"/>
      <c r="D63" s="18"/>
      <c r="E63" s="28"/>
    </row>
    <row r="64" spans="1:5" x14ac:dyDescent="0.45">
      <c r="A64" s="16">
        <f t="shared" si="1"/>
        <v>63</v>
      </c>
      <c r="B64" s="17" t="str">
        <f t="shared" ca="1" si="2"/>
        <v/>
      </c>
      <c r="C64" s="18"/>
      <c r="D64" s="18"/>
      <c r="E64" s="19"/>
    </row>
    <row r="65" spans="1:5" x14ac:dyDescent="0.45">
      <c r="A65" s="16">
        <f t="shared" si="1"/>
        <v>64</v>
      </c>
      <c r="B65" s="17" t="str">
        <f t="shared" ca="1" si="2"/>
        <v/>
      </c>
      <c r="C65" s="18"/>
      <c r="D65" s="18"/>
      <c r="E65" s="28"/>
    </row>
    <row r="66" spans="1:5" x14ac:dyDescent="0.45">
      <c r="A66" s="16">
        <f t="shared" si="1"/>
        <v>65</v>
      </c>
      <c r="B66" s="17" t="str">
        <f t="shared" ca="1" si="2"/>
        <v/>
      </c>
      <c r="C66" s="18"/>
      <c r="D66" s="18"/>
      <c r="E66" s="19"/>
    </row>
    <row r="67" spans="1:5" x14ac:dyDescent="0.45">
      <c r="A67" s="16">
        <f t="shared" si="1"/>
        <v>66</v>
      </c>
      <c r="B67" s="17" t="str">
        <f t="shared" ca="1" si="2"/>
        <v/>
      </c>
      <c r="C67" s="18"/>
      <c r="D67" s="18"/>
      <c r="E67" s="28"/>
    </row>
    <row r="68" spans="1:5" x14ac:dyDescent="0.45">
      <c r="A68" s="16">
        <f t="shared" ref="A68:A131" si="3">A67+1</f>
        <v>67</v>
      </c>
      <c r="B68" s="17" t="str">
        <f t="shared" ca="1" si="2"/>
        <v/>
      </c>
      <c r="C68" s="18"/>
      <c r="D68" s="18"/>
      <c r="E68" s="19"/>
    </row>
    <row r="69" spans="1:5" x14ac:dyDescent="0.45">
      <c r="A69" s="16">
        <f t="shared" si="3"/>
        <v>68</v>
      </c>
      <c r="B69" s="17" t="str">
        <f t="shared" ca="1" si="2"/>
        <v/>
      </c>
      <c r="C69" s="18"/>
      <c r="D69" s="18"/>
      <c r="E69" s="28"/>
    </row>
    <row r="70" spans="1:5" x14ac:dyDescent="0.45">
      <c r="A70" s="16">
        <f t="shared" si="3"/>
        <v>69</v>
      </c>
      <c r="B70" s="17" t="str">
        <f t="shared" ca="1" si="2"/>
        <v/>
      </c>
      <c r="C70" s="18"/>
      <c r="D70" s="18"/>
      <c r="E70" s="19"/>
    </row>
    <row r="71" spans="1:5" x14ac:dyDescent="0.45">
      <c r="A71" s="16">
        <f t="shared" si="3"/>
        <v>70</v>
      </c>
      <c r="B71" s="17" t="str">
        <f t="shared" ca="1" si="2"/>
        <v/>
      </c>
      <c r="C71" s="18"/>
      <c r="D71" s="18"/>
      <c r="E71" s="28"/>
    </row>
    <row r="72" spans="1:5" x14ac:dyDescent="0.45">
      <c r="A72" s="16">
        <f t="shared" si="3"/>
        <v>71</v>
      </c>
      <c r="B72" s="17" t="str">
        <f t="shared" ca="1" si="2"/>
        <v/>
      </c>
      <c r="C72" s="18"/>
      <c r="D72" s="18"/>
      <c r="E72" s="19"/>
    </row>
    <row r="73" spans="1:5" ht="27" customHeight="1" x14ac:dyDescent="0.45">
      <c r="A73" s="16">
        <f t="shared" si="3"/>
        <v>72</v>
      </c>
      <c r="B73" s="17" t="str">
        <f t="shared" ca="1" si="2"/>
        <v/>
      </c>
      <c r="C73" s="18"/>
      <c r="D73" s="18"/>
      <c r="E73" s="19"/>
    </row>
    <row r="74" spans="1:5" x14ac:dyDescent="0.45">
      <c r="A74" s="16">
        <f t="shared" si="3"/>
        <v>73</v>
      </c>
      <c r="B74" s="17" t="str">
        <f t="shared" ca="1" si="2"/>
        <v/>
      </c>
      <c r="C74" s="18"/>
      <c r="D74" s="18"/>
      <c r="E74" s="20"/>
    </row>
    <row r="75" spans="1:5" x14ac:dyDescent="0.45">
      <c r="A75" s="16">
        <f t="shared" si="3"/>
        <v>74</v>
      </c>
      <c r="B75" s="17" t="str">
        <f t="shared" ca="1" si="2"/>
        <v/>
      </c>
      <c r="C75" s="18"/>
      <c r="D75" s="18"/>
      <c r="E75" s="20"/>
    </row>
    <row r="76" spans="1:5" x14ac:dyDescent="0.45">
      <c r="A76" s="16">
        <f t="shared" si="3"/>
        <v>75</v>
      </c>
      <c r="B76" s="17" t="str">
        <f t="shared" ca="1" si="2"/>
        <v/>
      </c>
      <c r="C76" s="18"/>
      <c r="D76" s="18"/>
      <c r="E76" s="20"/>
    </row>
    <row r="77" spans="1:5" x14ac:dyDescent="0.45">
      <c r="A77" s="16">
        <f t="shared" si="3"/>
        <v>76</v>
      </c>
      <c r="B77" s="17" t="str">
        <f t="shared" ca="1" si="2"/>
        <v/>
      </c>
      <c r="C77" s="18"/>
      <c r="D77" s="18"/>
      <c r="E77" s="19"/>
    </row>
    <row r="78" spans="1:5" x14ac:dyDescent="0.45">
      <c r="A78" s="16">
        <f t="shared" si="3"/>
        <v>77</v>
      </c>
      <c r="B78" s="17" t="str">
        <f t="shared" ca="1" si="2"/>
        <v/>
      </c>
      <c r="C78" s="18"/>
      <c r="D78" s="18"/>
      <c r="E78" s="19"/>
    </row>
    <row r="79" spans="1:5" x14ac:dyDescent="0.45">
      <c r="A79" s="16">
        <f t="shared" si="3"/>
        <v>78</v>
      </c>
      <c r="B79" s="17" t="str">
        <f t="shared" ca="1" si="2"/>
        <v/>
      </c>
      <c r="C79" s="18"/>
      <c r="D79" s="18"/>
      <c r="E79" s="19"/>
    </row>
    <row r="80" spans="1:5" x14ac:dyDescent="0.45">
      <c r="A80" s="16">
        <f t="shared" si="3"/>
        <v>79</v>
      </c>
      <c r="B80" s="17" t="str">
        <f t="shared" ca="1" si="2"/>
        <v/>
      </c>
      <c r="C80" s="18"/>
      <c r="D80" s="18"/>
      <c r="E80" s="19"/>
    </row>
    <row r="81" spans="1:5" x14ac:dyDescent="0.45">
      <c r="A81" s="16">
        <f t="shared" si="3"/>
        <v>80</v>
      </c>
      <c r="B81" s="17" t="str">
        <f t="shared" ca="1" si="2"/>
        <v/>
      </c>
      <c r="C81" s="18"/>
      <c r="D81" s="18"/>
      <c r="E81" s="19"/>
    </row>
    <row r="82" spans="1:5" x14ac:dyDescent="0.45">
      <c r="A82" s="16">
        <f t="shared" si="3"/>
        <v>81</v>
      </c>
      <c r="B82" s="17" t="str">
        <f t="shared" ca="1" si="2"/>
        <v/>
      </c>
      <c r="C82" s="18"/>
      <c r="D82" s="18"/>
      <c r="E82" s="19"/>
    </row>
    <row r="83" spans="1:5" x14ac:dyDescent="0.45">
      <c r="A83" s="16">
        <f t="shared" si="3"/>
        <v>82</v>
      </c>
      <c r="B83" s="17" t="str">
        <f t="shared" ca="1" si="2"/>
        <v/>
      </c>
      <c r="C83" s="18"/>
      <c r="D83" s="18"/>
      <c r="E83" s="19"/>
    </row>
    <row r="84" spans="1:5" x14ac:dyDescent="0.45">
      <c r="A84" s="16">
        <f t="shared" si="3"/>
        <v>83</v>
      </c>
      <c r="B84" s="17" t="str">
        <f t="shared" ca="1" si="2"/>
        <v/>
      </c>
      <c r="C84" s="18"/>
      <c r="D84" s="18"/>
      <c r="E84" s="19"/>
    </row>
    <row r="85" spans="1:5" x14ac:dyDescent="0.45">
      <c r="A85" s="16">
        <f t="shared" si="3"/>
        <v>84</v>
      </c>
      <c r="B85" s="17" t="str">
        <f t="shared" ca="1" si="2"/>
        <v/>
      </c>
      <c r="C85" s="18"/>
      <c r="D85" s="18"/>
      <c r="E85" s="19"/>
    </row>
    <row r="86" spans="1:5" x14ac:dyDescent="0.45">
      <c r="A86" s="16">
        <f t="shared" si="3"/>
        <v>85</v>
      </c>
      <c r="B86" s="17" t="str">
        <f t="shared" ca="1" si="2"/>
        <v/>
      </c>
      <c r="C86" s="18"/>
      <c r="D86" s="18"/>
      <c r="E86" s="19"/>
    </row>
    <row r="87" spans="1:5" x14ac:dyDescent="0.45">
      <c r="A87" s="16">
        <f t="shared" si="3"/>
        <v>86</v>
      </c>
      <c r="B87" s="17" t="str">
        <f t="shared" ca="1" si="2"/>
        <v/>
      </c>
      <c r="C87" s="18"/>
      <c r="D87" s="18"/>
      <c r="E87" s="19"/>
    </row>
    <row r="88" spans="1:5" x14ac:dyDescent="0.45">
      <c r="A88" s="16">
        <f t="shared" si="3"/>
        <v>87</v>
      </c>
      <c r="B88" s="17" t="str">
        <f t="shared" ca="1" si="2"/>
        <v/>
      </c>
      <c r="C88" s="18"/>
      <c r="D88" s="18"/>
      <c r="E88" s="19"/>
    </row>
    <row r="89" spans="1:5" x14ac:dyDescent="0.45">
      <c r="A89" s="16">
        <f t="shared" si="3"/>
        <v>88</v>
      </c>
      <c r="B89" s="17" t="str">
        <f t="shared" ca="1" si="2"/>
        <v/>
      </c>
      <c r="C89" s="18"/>
      <c r="D89" s="18"/>
      <c r="E89" s="20"/>
    </row>
    <row r="90" spans="1:5" x14ac:dyDescent="0.45">
      <c r="A90" s="16">
        <f t="shared" si="3"/>
        <v>89</v>
      </c>
      <c r="B90" s="17" t="str">
        <f t="shared" ca="1" si="2"/>
        <v/>
      </c>
      <c r="C90" s="18"/>
      <c r="D90" s="18"/>
      <c r="E90" s="20"/>
    </row>
    <row r="91" spans="1:5" x14ac:dyDescent="0.45">
      <c r="A91" s="16">
        <f t="shared" si="3"/>
        <v>90</v>
      </c>
      <c r="B91" s="17" t="str">
        <f t="shared" ca="1" si="2"/>
        <v/>
      </c>
      <c r="C91" s="18"/>
      <c r="D91" s="18"/>
      <c r="E91" s="20"/>
    </row>
    <row r="92" spans="1:5" x14ac:dyDescent="0.45">
      <c r="A92" s="16">
        <f t="shared" si="3"/>
        <v>91</v>
      </c>
      <c r="B92" s="17" t="str">
        <f t="shared" ca="1" si="2"/>
        <v/>
      </c>
      <c r="C92" s="18"/>
      <c r="D92" s="18"/>
      <c r="E92" s="19"/>
    </row>
    <row r="93" spans="1:5" x14ac:dyDescent="0.45">
      <c r="A93" s="16">
        <f t="shared" si="3"/>
        <v>92</v>
      </c>
      <c r="B93" s="17" t="str">
        <f t="shared" ca="1" si="2"/>
        <v/>
      </c>
      <c r="C93" s="18"/>
      <c r="D93" s="18"/>
      <c r="E93" s="19"/>
    </row>
    <row r="94" spans="1:5" x14ac:dyDescent="0.45">
      <c r="A94" s="16">
        <f t="shared" si="3"/>
        <v>93</v>
      </c>
      <c r="B94" s="17" t="str">
        <f t="shared" ca="1" si="2"/>
        <v/>
      </c>
      <c r="C94" s="18"/>
      <c r="D94" s="18"/>
      <c r="E94" s="19"/>
    </row>
    <row r="95" spans="1:5" x14ac:dyDescent="0.45">
      <c r="A95" s="16">
        <f t="shared" si="3"/>
        <v>94</v>
      </c>
      <c r="B95" s="17" t="str">
        <f t="shared" ca="1" si="2"/>
        <v/>
      </c>
      <c r="C95" s="18"/>
      <c r="D95" s="18"/>
      <c r="E95" s="19"/>
    </row>
    <row r="96" spans="1:5" x14ac:dyDescent="0.45">
      <c r="A96" s="16">
        <f t="shared" si="3"/>
        <v>95</v>
      </c>
      <c r="B96" s="17" t="str">
        <f t="shared" ca="1" si="2"/>
        <v/>
      </c>
      <c r="C96" s="18"/>
      <c r="D96" s="18"/>
      <c r="E96" s="19"/>
    </row>
    <row r="97" spans="1:6" x14ac:dyDescent="0.45">
      <c r="A97" s="16">
        <f t="shared" si="3"/>
        <v>96</v>
      </c>
      <c r="B97" s="17" t="str">
        <f t="shared" ca="1" si="2"/>
        <v/>
      </c>
      <c r="C97" s="18"/>
      <c r="D97" s="18"/>
      <c r="E97" s="19"/>
    </row>
    <row r="98" spans="1:6" x14ac:dyDescent="0.45">
      <c r="A98" s="16">
        <f t="shared" si="3"/>
        <v>97</v>
      </c>
      <c r="B98" s="17" t="str">
        <f t="shared" ca="1" si="2"/>
        <v/>
      </c>
      <c r="C98" s="18"/>
      <c r="D98" s="18"/>
      <c r="E98" s="19"/>
    </row>
    <row r="99" spans="1:6" x14ac:dyDescent="0.45">
      <c r="A99" s="16">
        <f t="shared" si="3"/>
        <v>98</v>
      </c>
      <c r="B99" s="17" t="str">
        <f t="shared" ca="1" si="2"/>
        <v/>
      </c>
      <c r="C99" s="18"/>
      <c r="D99" s="18"/>
      <c r="E99" s="19"/>
    </row>
    <row r="100" spans="1:6" x14ac:dyDescent="0.45">
      <c r="A100" s="16">
        <f t="shared" si="3"/>
        <v>99</v>
      </c>
      <c r="B100" s="17" t="str">
        <f t="shared" ca="1" si="2"/>
        <v/>
      </c>
      <c r="C100" s="18"/>
      <c r="D100" s="18"/>
      <c r="E100" s="19"/>
    </row>
    <row r="101" spans="1:6" x14ac:dyDescent="0.45">
      <c r="A101" s="16">
        <f t="shared" si="3"/>
        <v>100</v>
      </c>
      <c r="B101" s="17" t="str">
        <f t="shared" ca="1" si="2"/>
        <v/>
      </c>
      <c r="C101" s="18"/>
      <c r="D101" s="18"/>
      <c r="E101" s="19"/>
    </row>
    <row r="102" spans="1:6" x14ac:dyDescent="0.45">
      <c r="A102" s="16">
        <f t="shared" si="3"/>
        <v>101</v>
      </c>
      <c r="B102" s="17" t="str">
        <f t="shared" ca="1" si="2"/>
        <v/>
      </c>
      <c r="C102" s="18"/>
      <c r="D102" s="18"/>
      <c r="E102" s="19"/>
    </row>
    <row r="103" spans="1:6" x14ac:dyDescent="0.45">
      <c r="A103" s="16">
        <f t="shared" si="3"/>
        <v>102</v>
      </c>
      <c r="B103" s="17" t="str">
        <f t="shared" ca="1" si="2"/>
        <v/>
      </c>
      <c r="C103" s="18"/>
      <c r="D103" s="18"/>
      <c r="E103" s="19"/>
    </row>
    <row r="104" spans="1:6" x14ac:dyDescent="0.45">
      <c r="A104" s="16">
        <f t="shared" si="3"/>
        <v>103</v>
      </c>
      <c r="B104" s="17" t="str">
        <f t="shared" ca="1" si="2"/>
        <v/>
      </c>
      <c r="C104" s="18"/>
      <c r="D104" s="18"/>
      <c r="E104" s="20"/>
    </row>
    <row r="105" spans="1:6" x14ac:dyDescent="0.45">
      <c r="A105" s="16">
        <f t="shared" si="3"/>
        <v>104</v>
      </c>
      <c r="B105" s="17" t="str">
        <f t="shared" ca="1" si="2"/>
        <v/>
      </c>
      <c r="C105" s="18"/>
      <c r="D105" s="18"/>
      <c r="E105" s="20"/>
    </row>
    <row r="106" spans="1:6" x14ac:dyDescent="0.45">
      <c r="A106" s="16">
        <f t="shared" si="3"/>
        <v>105</v>
      </c>
      <c r="B106" s="17" t="str">
        <f t="shared" ref="B106:B145" ca="1" si="4">IF($C106="","",INDIRECT("'CR_Summary'!E2")&amp;"_REQ_"&amp;TEXT($A106,"000"))</f>
        <v/>
      </c>
      <c r="C106" s="18"/>
      <c r="D106" s="18"/>
      <c r="E106" s="20"/>
    </row>
    <row r="107" spans="1:6" x14ac:dyDescent="0.45">
      <c r="A107" s="16">
        <f t="shared" si="3"/>
        <v>106</v>
      </c>
      <c r="B107" s="17" t="str">
        <f t="shared" ca="1" si="4"/>
        <v/>
      </c>
      <c r="C107" s="18"/>
      <c r="D107" s="18"/>
      <c r="E107" s="19"/>
      <c r="F107" s="15"/>
    </row>
    <row r="108" spans="1:6" x14ac:dyDescent="0.45">
      <c r="A108" s="16">
        <f t="shared" si="3"/>
        <v>107</v>
      </c>
      <c r="B108" s="17" t="str">
        <f t="shared" ca="1" si="4"/>
        <v/>
      </c>
      <c r="C108" s="18"/>
      <c r="D108" s="18"/>
      <c r="E108" s="19"/>
    </row>
    <row r="109" spans="1:6" x14ac:dyDescent="0.45">
      <c r="A109" s="16">
        <f t="shared" si="3"/>
        <v>108</v>
      </c>
      <c r="B109" s="17" t="str">
        <f t="shared" ca="1" si="4"/>
        <v/>
      </c>
      <c r="C109" s="18"/>
      <c r="D109" s="18"/>
      <c r="E109" s="19"/>
    </row>
    <row r="110" spans="1:6" x14ac:dyDescent="0.45">
      <c r="A110" s="16">
        <f t="shared" si="3"/>
        <v>109</v>
      </c>
      <c r="B110" s="17" t="str">
        <f t="shared" ca="1" si="4"/>
        <v/>
      </c>
      <c r="C110" s="18"/>
      <c r="D110" s="18"/>
      <c r="E110" s="19"/>
    </row>
    <row r="111" spans="1:6" x14ac:dyDescent="0.45">
      <c r="A111" s="16">
        <f t="shared" si="3"/>
        <v>110</v>
      </c>
      <c r="B111" s="17" t="str">
        <f t="shared" ca="1" si="4"/>
        <v/>
      </c>
      <c r="C111" s="18"/>
      <c r="D111" s="18"/>
      <c r="E111" s="19"/>
    </row>
    <row r="112" spans="1:6" x14ac:dyDescent="0.45">
      <c r="A112" s="16">
        <f t="shared" si="3"/>
        <v>111</v>
      </c>
      <c r="B112" s="17" t="str">
        <f t="shared" ca="1" si="4"/>
        <v/>
      </c>
      <c r="C112" s="18"/>
      <c r="D112" s="18"/>
      <c r="E112" s="19"/>
    </row>
    <row r="113" spans="1:5" x14ac:dyDescent="0.45">
      <c r="A113" s="16">
        <f t="shared" si="3"/>
        <v>112</v>
      </c>
      <c r="B113" s="17" t="str">
        <f t="shared" ca="1" si="4"/>
        <v/>
      </c>
      <c r="C113" s="18"/>
      <c r="D113" s="18"/>
      <c r="E113" s="19"/>
    </row>
    <row r="114" spans="1:5" x14ac:dyDescent="0.45">
      <c r="A114" s="16">
        <f t="shared" si="3"/>
        <v>113</v>
      </c>
      <c r="B114" s="17" t="str">
        <f t="shared" ca="1" si="4"/>
        <v/>
      </c>
      <c r="C114" s="18"/>
      <c r="D114" s="18"/>
      <c r="E114" s="19"/>
    </row>
    <row r="115" spans="1:5" x14ac:dyDescent="0.45">
      <c r="A115" s="16">
        <f t="shared" si="3"/>
        <v>114</v>
      </c>
      <c r="B115" s="17" t="str">
        <f t="shared" ca="1" si="4"/>
        <v/>
      </c>
      <c r="C115" s="18"/>
      <c r="D115" s="18"/>
      <c r="E115" s="19"/>
    </row>
    <row r="116" spans="1:5" x14ac:dyDescent="0.45">
      <c r="A116" s="16">
        <f t="shared" si="3"/>
        <v>115</v>
      </c>
      <c r="B116" s="17" t="str">
        <f t="shared" ca="1" si="4"/>
        <v/>
      </c>
      <c r="C116" s="18"/>
      <c r="D116" s="18"/>
      <c r="E116" s="19"/>
    </row>
    <row r="117" spans="1:5" x14ac:dyDescent="0.45">
      <c r="A117" s="16">
        <f t="shared" si="3"/>
        <v>116</v>
      </c>
      <c r="B117" s="17" t="str">
        <f t="shared" ca="1" si="4"/>
        <v/>
      </c>
      <c r="C117" s="18"/>
      <c r="D117" s="18"/>
      <c r="E117" s="19"/>
    </row>
    <row r="118" spans="1:5" x14ac:dyDescent="0.45">
      <c r="A118" s="16">
        <f t="shared" si="3"/>
        <v>117</v>
      </c>
      <c r="B118" s="17" t="str">
        <f t="shared" ca="1" si="4"/>
        <v/>
      </c>
      <c r="C118" s="18"/>
      <c r="D118" s="18"/>
      <c r="E118" s="19"/>
    </row>
    <row r="119" spans="1:5" x14ac:dyDescent="0.45">
      <c r="A119" s="16">
        <f t="shared" si="3"/>
        <v>118</v>
      </c>
      <c r="B119" s="17" t="str">
        <f t="shared" ca="1" si="4"/>
        <v/>
      </c>
      <c r="C119" s="18"/>
      <c r="D119" s="18"/>
      <c r="E119" s="19"/>
    </row>
    <row r="120" spans="1:5" x14ac:dyDescent="0.45">
      <c r="A120" s="16">
        <f t="shared" si="3"/>
        <v>119</v>
      </c>
      <c r="B120" s="17" t="str">
        <f t="shared" ca="1" si="4"/>
        <v/>
      </c>
      <c r="C120" s="18"/>
      <c r="D120" s="18"/>
      <c r="E120" s="19"/>
    </row>
    <row r="121" spans="1:5" x14ac:dyDescent="0.45">
      <c r="A121" s="16">
        <f t="shared" si="3"/>
        <v>120</v>
      </c>
      <c r="B121" s="17" t="str">
        <f t="shared" ca="1" si="4"/>
        <v/>
      </c>
      <c r="C121" s="18"/>
      <c r="D121" s="18"/>
      <c r="E121" s="19"/>
    </row>
    <row r="122" spans="1:5" x14ac:dyDescent="0.45">
      <c r="A122" s="16">
        <f t="shared" si="3"/>
        <v>121</v>
      </c>
      <c r="B122" s="17" t="str">
        <f t="shared" ca="1" si="4"/>
        <v/>
      </c>
      <c r="C122" s="18"/>
      <c r="D122" s="18"/>
      <c r="E122" s="19"/>
    </row>
    <row r="123" spans="1:5" x14ac:dyDescent="0.45">
      <c r="A123" s="16">
        <f t="shared" si="3"/>
        <v>122</v>
      </c>
      <c r="B123" s="17" t="str">
        <f t="shared" ca="1" si="4"/>
        <v/>
      </c>
      <c r="C123" s="18"/>
      <c r="D123" s="18"/>
      <c r="E123" s="19"/>
    </row>
    <row r="124" spans="1:5" x14ac:dyDescent="0.45">
      <c r="A124" s="16">
        <f t="shared" si="3"/>
        <v>123</v>
      </c>
      <c r="B124" s="17" t="str">
        <f t="shared" ca="1" si="4"/>
        <v/>
      </c>
      <c r="C124" s="18"/>
      <c r="D124" s="18"/>
      <c r="E124" s="19"/>
    </row>
    <row r="125" spans="1:5" x14ac:dyDescent="0.45">
      <c r="A125" s="16">
        <f t="shared" si="3"/>
        <v>124</v>
      </c>
      <c r="B125" s="17" t="str">
        <f t="shared" ca="1" si="4"/>
        <v/>
      </c>
      <c r="C125" s="18"/>
      <c r="D125" s="18"/>
      <c r="E125" s="19"/>
    </row>
    <row r="126" spans="1:5" x14ac:dyDescent="0.45">
      <c r="A126" s="16">
        <f t="shared" si="3"/>
        <v>125</v>
      </c>
      <c r="B126" s="17" t="str">
        <f t="shared" ca="1" si="4"/>
        <v/>
      </c>
      <c r="C126" s="18"/>
      <c r="D126" s="18"/>
      <c r="E126" s="19"/>
    </row>
    <row r="127" spans="1:5" x14ac:dyDescent="0.45">
      <c r="A127" s="16">
        <f t="shared" si="3"/>
        <v>126</v>
      </c>
      <c r="B127" s="17" t="str">
        <f t="shared" ca="1" si="4"/>
        <v/>
      </c>
      <c r="C127" s="18"/>
      <c r="D127" s="18"/>
      <c r="E127" s="19"/>
    </row>
    <row r="128" spans="1:5" x14ac:dyDescent="0.45">
      <c r="A128" s="16">
        <f t="shared" si="3"/>
        <v>127</v>
      </c>
      <c r="B128" s="17" t="str">
        <f t="shared" ca="1" si="4"/>
        <v/>
      </c>
      <c r="C128" s="18"/>
      <c r="D128" s="18"/>
      <c r="E128" s="19"/>
    </row>
    <row r="129" spans="1:5" x14ac:dyDescent="0.45">
      <c r="A129" s="16">
        <f t="shared" si="3"/>
        <v>128</v>
      </c>
      <c r="B129" s="17" t="str">
        <f t="shared" ca="1" si="4"/>
        <v/>
      </c>
      <c r="C129" s="18"/>
      <c r="D129" s="18"/>
      <c r="E129" s="19"/>
    </row>
    <row r="130" spans="1:5" x14ac:dyDescent="0.45">
      <c r="A130" s="16">
        <f t="shared" si="3"/>
        <v>129</v>
      </c>
      <c r="B130" s="17" t="str">
        <f t="shared" ca="1" si="4"/>
        <v/>
      </c>
      <c r="C130" s="18"/>
      <c r="D130" s="18"/>
      <c r="E130" s="19"/>
    </row>
    <row r="131" spans="1:5" x14ac:dyDescent="0.45">
      <c r="A131" s="16">
        <f t="shared" si="3"/>
        <v>130</v>
      </c>
      <c r="B131" s="17" t="str">
        <f t="shared" ca="1" si="4"/>
        <v/>
      </c>
      <c r="C131" s="18"/>
      <c r="D131" s="18"/>
      <c r="E131" s="19"/>
    </row>
    <row r="132" spans="1:5" x14ac:dyDescent="0.45">
      <c r="A132" s="16">
        <f t="shared" ref="A132:A133" si="5">A131+1</f>
        <v>131</v>
      </c>
      <c r="B132" s="17" t="str">
        <f t="shared" ca="1" si="4"/>
        <v/>
      </c>
      <c r="C132" s="18"/>
      <c r="D132" s="18"/>
      <c r="E132" s="19"/>
    </row>
    <row r="133" spans="1:5" x14ac:dyDescent="0.45">
      <c r="A133" s="16">
        <f t="shared" si="5"/>
        <v>132</v>
      </c>
      <c r="B133" s="17" t="str">
        <f t="shared" ca="1" si="4"/>
        <v/>
      </c>
      <c r="C133" s="18"/>
      <c r="D133" s="18"/>
      <c r="E133" s="19"/>
    </row>
    <row r="134" spans="1:5" x14ac:dyDescent="0.45">
      <c r="A134" s="16">
        <f t="shared" ref="A134:A139" si="6">A133+1</f>
        <v>133</v>
      </c>
      <c r="B134" s="17" t="str">
        <f t="shared" ca="1" si="4"/>
        <v/>
      </c>
      <c r="C134" s="18"/>
      <c r="D134" s="18"/>
      <c r="E134" s="19"/>
    </row>
    <row r="135" spans="1:5" x14ac:dyDescent="0.45">
      <c r="A135" s="16">
        <f t="shared" si="6"/>
        <v>134</v>
      </c>
      <c r="B135" s="17" t="str">
        <f t="shared" ca="1" si="4"/>
        <v/>
      </c>
      <c r="C135" s="18"/>
      <c r="D135" s="18"/>
      <c r="E135" s="20"/>
    </row>
    <row r="136" spans="1:5" x14ac:dyDescent="0.45">
      <c r="A136" s="16">
        <f t="shared" si="6"/>
        <v>135</v>
      </c>
      <c r="B136" s="17" t="str">
        <f t="shared" ca="1" si="4"/>
        <v/>
      </c>
      <c r="C136" s="18"/>
      <c r="D136" s="18"/>
      <c r="E136" s="20"/>
    </row>
    <row r="137" spans="1:5" x14ac:dyDescent="0.45">
      <c r="A137" s="16">
        <f t="shared" si="6"/>
        <v>136</v>
      </c>
      <c r="B137" s="17" t="str">
        <f t="shared" ca="1" si="4"/>
        <v/>
      </c>
      <c r="C137" s="18"/>
      <c r="D137" s="18"/>
      <c r="E137" s="20"/>
    </row>
    <row r="138" spans="1:5" x14ac:dyDescent="0.45">
      <c r="A138" s="16">
        <f t="shared" si="6"/>
        <v>137</v>
      </c>
      <c r="B138" s="17" t="str">
        <f t="shared" ca="1" si="4"/>
        <v/>
      </c>
      <c r="C138" s="18"/>
      <c r="D138" s="18"/>
      <c r="E138" s="20"/>
    </row>
    <row r="139" spans="1:5" x14ac:dyDescent="0.45">
      <c r="A139" s="16">
        <f t="shared" si="6"/>
        <v>138</v>
      </c>
      <c r="B139" s="17" t="str">
        <f t="shared" ca="1" si="4"/>
        <v/>
      </c>
      <c r="C139" s="18"/>
      <c r="D139" s="18"/>
      <c r="E139" s="20"/>
    </row>
    <row r="140" spans="1:5" x14ac:dyDescent="0.45">
      <c r="A140" s="16">
        <f t="shared" ref="A140:A142" si="7">A139+1</f>
        <v>139</v>
      </c>
      <c r="B140" s="17" t="str">
        <f t="shared" ca="1" si="4"/>
        <v/>
      </c>
      <c r="C140" s="18"/>
      <c r="D140" s="18"/>
      <c r="E140" s="20"/>
    </row>
    <row r="141" spans="1:5" x14ac:dyDescent="0.45">
      <c r="A141" s="16">
        <f t="shared" si="7"/>
        <v>140</v>
      </c>
      <c r="B141" s="17" t="str">
        <f t="shared" ca="1" si="4"/>
        <v/>
      </c>
      <c r="C141" s="18"/>
      <c r="D141" s="18"/>
      <c r="E141" s="20"/>
    </row>
    <row r="142" spans="1:5" x14ac:dyDescent="0.45">
      <c r="A142" s="16">
        <f t="shared" si="7"/>
        <v>141</v>
      </c>
      <c r="B142" s="17" t="str">
        <f t="shared" ca="1" si="4"/>
        <v/>
      </c>
      <c r="C142" s="18"/>
      <c r="D142" s="18"/>
      <c r="E142" s="20"/>
    </row>
    <row r="143" spans="1:5" x14ac:dyDescent="0.45">
      <c r="A143" s="16">
        <f t="shared" ref="A143:A145" si="8">A142+1</f>
        <v>142</v>
      </c>
      <c r="B143" s="17" t="str">
        <f t="shared" ca="1" si="4"/>
        <v/>
      </c>
      <c r="C143" s="18"/>
      <c r="D143" s="18"/>
      <c r="E143" s="20"/>
    </row>
    <row r="144" spans="1:5" x14ac:dyDescent="0.45">
      <c r="A144" s="16">
        <f t="shared" si="8"/>
        <v>143</v>
      </c>
      <c r="B144" s="17" t="str">
        <f t="shared" ca="1" si="4"/>
        <v/>
      </c>
      <c r="C144" s="18"/>
      <c r="D144" s="18"/>
      <c r="E144" s="19"/>
    </row>
    <row r="145" spans="1:5" x14ac:dyDescent="0.45">
      <c r="A145" s="16">
        <f t="shared" si="8"/>
        <v>144</v>
      </c>
      <c r="B145" s="17" t="str">
        <f t="shared" ca="1" si="4"/>
        <v/>
      </c>
      <c r="C145" s="18"/>
      <c r="D145" s="18"/>
      <c r="E145" s="19"/>
    </row>
  </sheetData>
  <autoFilter ref="B1:E134"/>
  <phoneticPr fontId="15"/>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5" sqref="B15"/>
    </sheetView>
  </sheetViews>
  <sheetFormatPr defaultRowHeight="18" x14ac:dyDescent="0.45"/>
  <cols>
    <col min="1" max="1" width="6.296875" style="35" customWidth="1"/>
    <col min="2" max="2" width="125.296875" style="35" customWidth="1"/>
    <col min="3" max="16384" width="8.796875" style="34"/>
  </cols>
  <sheetData>
    <row r="1" spans="1:2" x14ac:dyDescent="0.45">
      <c r="A1" s="37" t="s">
        <v>9</v>
      </c>
      <c r="B1" s="37" t="s">
        <v>59</v>
      </c>
    </row>
    <row r="2" spans="1:2" ht="85.2" x14ac:dyDescent="0.45">
      <c r="A2" s="36">
        <v>1</v>
      </c>
      <c r="B2" s="38" t="s">
        <v>72</v>
      </c>
    </row>
    <row r="3" spans="1:2" ht="85.2" x14ac:dyDescent="0.45">
      <c r="A3" s="36">
        <v>2</v>
      </c>
      <c r="B3" s="38" t="s">
        <v>62</v>
      </c>
    </row>
    <row r="4" spans="1:2" x14ac:dyDescent="0.45">
      <c r="A4" s="36">
        <v>3</v>
      </c>
      <c r="B4" s="36" t="s">
        <v>60</v>
      </c>
    </row>
    <row r="5" spans="1:2" x14ac:dyDescent="0.45">
      <c r="A5" s="36">
        <v>4</v>
      </c>
      <c r="B5" s="36" t="s">
        <v>61</v>
      </c>
    </row>
  </sheetData>
  <phoneticPr fontId="1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4"/>
  <sheetViews>
    <sheetView workbookViewId="0">
      <selection activeCell="E9" sqref="E9"/>
    </sheetView>
  </sheetViews>
  <sheetFormatPr defaultRowHeight="18" x14ac:dyDescent="0.45"/>
  <cols>
    <col min="1" max="1" width="16" style="35" bestFit="1" customWidth="1"/>
    <col min="2" max="2" width="30" style="35" customWidth="1"/>
    <col min="3" max="3" width="23.09765625" style="34" customWidth="1"/>
    <col min="4" max="4" width="24" style="34" customWidth="1"/>
    <col min="5" max="16384" width="8.796875" style="34"/>
  </cols>
  <sheetData>
    <row r="2" spans="1:5" x14ac:dyDescent="0.45">
      <c r="A2" s="41" t="s">
        <v>49</v>
      </c>
      <c r="C2" s="35"/>
      <c r="D2" s="35"/>
      <c r="E2" s="35"/>
    </row>
    <row r="3" spans="1:5" x14ac:dyDescent="0.45">
      <c r="A3" s="29" t="s">
        <v>50</v>
      </c>
      <c r="B3" s="29" t="s">
        <v>51</v>
      </c>
      <c r="C3" s="43" t="s">
        <v>67</v>
      </c>
      <c r="D3" s="43" t="s">
        <v>63</v>
      </c>
      <c r="E3" s="33"/>
    </row>
    <row r="4" spans="1:5" x14ac:dyDescent="0.45">
      <c r="A4" s="30" t="s">
        <v>54</v>
      </c>
      <c r="B4" s="44" t="s">
        <v>52</v>
      </c>
      <c r="C4" s="42" t="s">
        <v>73</v>
      </c>
      <c r="D4" s="42" t="s">
        <v>65</v>
      </c>
      <c r="E4" s="40"/>
    </row>
    <row r="5" spans="1:5" x14ac:dyDescent="0.45">
      <c r="A5" s="31"/>
      <c r="B5" s="39" t="s">
        <v>55</v>
      </c>
      <c r="C5" s="42" t="s">
        <v>73</v>
      </c>
      <c r="D5" s="42" t="s">
        <v>65</v>
      </c>
      <c r="E5" s="40"/>
    </row>
    <row r="6" spans="1:5" x14ac:dyDescent="0.45">
      <c r="A6" s="32"/>
      <c r="B6" s="45" t="s">
        <v>56</v>
      </c>
      <c r="C6" s="42" t="s">
        <v>64</v>
      </c>
      <c r="D6" s="42" t="s">
        <v>65</v>
      </c>
      <c r="E6" s="40"/>
    </row>
    <row r="7" spans="1:5" x14ac:dyDescent="0.45">
      <c r="A7" s="30" t="s">
        <v>57</v>
      </c>
      <c r="B7" s="44" t="s">
        <v>52</v>
      </c>
      <c r="C7" s="42" t="s">
        <v>69</v>
      </c>
      <c r="D7" s="42" t="s">
        <v>65</v>
      </c>
      <c r="E7" s="40"/>
    </row>
    <row r="8" spans="1:5" x14ac:dyDescent="0.45">
      <c r="A8" s="31"/>
      <c r="B8" s="39" t="s">
        <v>55</v>
      </c>
      <c r="C8" s="42" t="s">
        <v>66</v>
      </c>
      <c r="D8" s="42" t="s">
        <v>66</v>
      </c>
      <c r="E8" s="40"/>
    </row>
    <row r="9" spans="1:5" x14ac:dyDescent="0.45">
      <c r="A9" s="32"/>
      <c r="B9" s="45" t="s">
        <v>53</v>
      </c>
      <c r="C9" s="42" t="s">
        <v>66</v>
      </c>
      <c r="D9" s="42" t="s">
        <v>66</v>
      </c>
      <c r="E9" s="40"/>
    </row>
    <row r="11" spans="1:5" x14ac:dyDescent="0.45">
      <c r="A11" s="35" t="s">
        <v>68</v>
      </c>
    </row>
    <row r="12" spans="1:5" x14ac:dyDescent="0.45">
      <c r="A12" s="35" t="s">
        <v>70</v>
      </c>
    </row>
    <row r="14" spans="1:5" x14ac:dyDescent="0.45">
      <c r="A14" s="35" t="s">
        <v>74</v>
      </c>
    </row>
  </sheetData>
  <phoneticPr fontId="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9"/>
  </sheetPr>
  <dimension ref="B2:I34"/>
  <sheetViews>
    <sheetView showGridLines="0" workbookViewId="0"/>
  </sheetViews>
  <sheetFormatPr defaultColWidth="9" defaultRowHeight="18" x14ac:dyDescent="0.45"/>
  <cols>
    <col min="1" max="1" width="9" style="21"/>
    <col min="2" max="2" width="11.5" style="21" bestFit="1" customWidth="1"/>
    <col min="3" max="3" width="32.5" style="21" customWidth="1"/>
    <col min="4" max="4" width="16.5" style="21" customWidth="1"/>
    <col min="5" max="5" width="13.8984375" style="21" customWidth="1"/>
    <col min="6" max="6" width="22.8984375" style="21" customWidth="1"/>
    <col min="7" max="16384" width="9" style="21"/>
  </cols>
  <sheetData>
    <row r="2" spans="2:9" x14ac:dyDescent="0.45">
      <c r="B2" s="21" t="s">
        <v>24</v>
      </c>
    </row>
    <row r="3" spans="2:9" x14ac:dyDescent="0.45">
      <c r="B3" s="51" t="s">
        <v>25</v>
      </c>
      <c r="C3" s="22" t="s">
        <v>26</v>
      </c>
      <c r="E3" s="23"/>
    </row>
    <row r="4" spans="2:9" x14ac:dyDescent="0.45">
      <c r="B4" s="51"/>
      <c r="C4" s="22" t="s">
        <v>27</v>
      </c>
      <c r="E4" s="23"/>
      <c r="I4" s="24"/>
    </row>
    <row r="5" spans="2:9" x14ac:dyDescent="0.45">
      <c r="B5" s="51"/>
      <c r="C5" s="22" t="s">
        <v>28</v>
      </c>
      <c r="E5" s="23"/>
    </row>
    <row r="6" spans="2:9" x14ac:dyDescent="0.45">
      <c r="B6" s="51"/>
      <c r="C6" s="22" t="s">
        <v>29</v>
      </c>
      <c r="E6" s="23"/>
    </row>
    <row r="7" spans="2:9" x14ac:dyDescent="0.45">
      <c r="B7" s="51"/>
      <c r="C7" s="22" t="s">
        <v>30</v>
      </c>
      <c r="E7" s="23"/>
    </row>
    <row r="8" spans="2:9" x14ac:dyDescent="0.45">
      <c r="B8" s="52" t="s">
        <v>31</v>
      </c>
      <c r="C8" s="22" t="s">
        <v>32</v>
      </c>
      <c r="E8" s="23"/>
    </row>
    <row r="9" spans="2:9" x14ac:dyDescent="0.45">
      <c r="B9" s="53"/>
      <c r="C9" s="22" t="s">
        <v>33</v>
      </c>
      <c r="E9" s="23"/>
    </row>
    <row r="10" spans="2:9" x14ac:dyDescent="0.45">
      <c r="B10" s="53"/>
      <c r="C10" s="22" t="s">
        <v>34</v>
      </c>
      <c r="E10" s="23"/>
    </row>
    <row r="11" spans="2:9" x14ac:dyDescent="0.45">
      <c r="B11" s="53"/>
      <c r="C11" s="22" t="s">
        <v>35</v>
      </c>
      <c r="D11" s="21" t="s">
        <v>36</v>
      </c>
      <c r="E11" s="23"/>
    </row>
    <row r="12" spans="2:9" x14ac:dyDescent="0.45">
      <c r="B12" s="53"/>
      <c r="C12" s="22" t="s">
        <v>37</v>
      </c>
      <c r="D12" s="21" t="s">
        <v>36</v>
      </c>
      <c r="E12" s="23"/>
    </row>
    <row r="13" spans="2:9" x14ac:dyDescent="0.45">
      <c r="B13" s="53"/>
      <c r="C13" s="22" t="s">
        <v>38</v>
      </c>
      <c r="E13" s="23"/>
    </row>
    <row r="14" spans="2:9" x14ac:dyDescent="0.45">
      <c r="B14" s="53"/>
      <c r="C14" s="22" t="s">
        <v>39</v>
      </c>
      <c r="E14" s="23"/>
    </row>
    <row r="15" spans="2:9" x14ac:dyDescent="0.45">
      <c r="B15" s="54"/>
      <c r="C15" s="22" t="s">
        <v>40</v>
      </c>
      <c r="E15" s="23"/>
    </row>
    <row r="16" spans="2:9" x14ac:dyDescent="0.45">
      <c r="B16" s="25" t="s">
        <v>41</v>
      </c>
      <c r="C16" s="22" t="s">
        <v>42</v>
      </c>
      <c r="E16" s="26"/>
    </row>
    <row r="17" spans="2:5" x14ac:dyDescent="0.45">
      <c r="B17" s="52" t="s">
        <v>43</v>
      </c>
      <c r="C17" s="22" t="s">
        <v>44</v>
      </c>
      <c r="E17" s="23"/>
    </row>
    <row r="18" spans="2:5" x14ac:dyDescent="0.45">
      <c r="B18" s="54"/>
      <c r="C18" s="22" t="s">
        <v>45</v>
      </c>
      <c r="E18" s="23"/>
    </row>
    <row r="19" spans="2:5" x14ac:dyDescent="0.45">
      <c r="B19" s="51" t="s">
        <v>46</v>
      </c>
      <c r="C19" s="22" t="s">
        <v>15</v>
      </c>
      <c r="E19" s="23"/>
    </row>
    <row r="20" spans="2:5" x14ac:dyDescent="0.45">
      <c r="B20" s="51"/>
      <c r="C20" s="22" t="s">
        <v>18</v>
      </c>
      <c r="E20" s="23"/>
    </row>
    <row r="21" spans="2:5" x14ac:dyDescent="0.45">
      <c r="B21" s="51"/>
      <c r="C21" s="22" t="s">
        <v>22</v>
      </c>
      <c r="E21" s="23"/>
    </row>
    <row r="22" spans="2:5" x14ac:dyDescent="0.45">
      <c r="B22" s="51"/>
      <c r="C22" s="22" t="s">
        <v>19</v>
      </c>
      <c r="E22" s="23"/>
    </row>
    <row r="23" spans="2:5" x14ac:dyDescent="0.45">
      <c r="B23" s="51"/>
      <c r="C23" s="22" t="s">
        <v>16</v>
      </c>
      <c r="E23" s="23"/>
    </row>
    <row r="24" spans="2:5" x14ac:dyDescent="0.45">
      <c r="B24" s="51"/>
      <c r="C24" s="22" t="s">
        <v>21</v>
      </c>
      <c r="E24" s="23"/>
    </row>
    <row r="25" spans="2:5" x14ac:dyDescent="0.45">
      <c r="B25" s="51"/>
      <c r="C25" s="22" t="s">
        <v>17</v>
      </c>
      <c r="E25" s="23"/>
    </row>
    <row r="26" spans="2:5" x14ac:dyDescent="0.45">
      <c r="B26" s="51"/>
      <c r="C26" s="22" t="s">
        <v>20</v>
      </c>
      <c r="E26" s="23"/>
    </row>
    <row r="27" spans="2:5" x14ac:dyDescent="0.45">
      <c r="B27" s="51"/>
      <c r="C27" s="27" t="s">
        <v>23</v>
      </c>
      <c r="E27" s="23"/>
    </row>
    <row r="28" spans="2:5" x14ac:dyDescent="0.45">
      <c r="E28" s="23"/>
    </row>
    <row r="29" spans="2:5" x14ac:dyDescent="0.45">
      <c r="E29" s="23"/>
    </row>
    <row r="30" spans="2:5" x14ac:dyDescent="0.45">
      <c r="E30" s="23"/>
    </row>
    <row r="31" spans="2:5" x14ac:dyDescent="0.45">
      <c r="E31" s="23"/>
    </row>
    <row r="32" spans="2:5" x14ac:dyDescent="0.45">
      <c r="E32" s="23"/>
    </row>
    <row r="33" spans="5:5" x14ac:dyDescent="0.45">
      <c r="E33" s="23"/>
    </row>
    <row r="34" spans="5:5" x14ac:dyDescent="0.45">
      <c r="E34" s="23"/>
    </row>
  </sheetData>
  <mergeCells count="4">
    <mergeCell ref="B3:B7"/>
    <mergeCell ref="B8:B15"/>
    <mergeCell ref="B17:B18"/>
    <mergeCell ref="B19:B27"/>
  </mergeCells>
  <phoneticPr fontId="15"/>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9" ma:contentTypeDescription="" ma:contentTypeScope="" ma:versionID="1d5d80d979e98b420f27c76eff47f0ef">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a63fddd75803229d4279b13239e1ca3c"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element ref="ns6:MediaServiceAutoTags" minOccurs="0"/>
                <xsd:element ref="ns6:MediaServiceOCR" minOccurs="0"/>
                <xsd:element ref="ns6:MediaServiceGenerationTime" minOccurs="0"/>
                <xsd:element ref="ns6: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element name="MediaServiceAutoTags" ma:index="49" nillable="true" ma:displayName="Tags" ma:internalName="MediaServiceAutoTags" ma:readOnly="true">
      <xsd:simpleType>
        <xsd:restriction base="dms:Text"/>
      </xsd:simpleType>
    </xsd:element>
    <xsd:element name="MediaServiceOCR" ma:index="50" nillable="true" ma:displayName="Extracted Text" ma:internalName="MediaServiceOCR" ma:readOnly="true">
      <xsd:simpleType>
        <xsd:restriction base="dms:Note">
          <xsd:maxLength value="255"/>
        </xsd:restriction>
      </xsd:simpleType>
    </xsd:element>
    <xsd:element name="MediaServiceGenerationTime" ma:index="51" nillable="true" ma:displayName="MediaServiceGenerationTime" ma:hidden="true" ma:internalName="MediaServiceGenerationTime"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Props1.xml><?xml version="1.0" encoding="utf-8"?>
<ds:datastoreItem xmlns:ds="http://schemas.openxmlformats.org/officeDocument/2006/customXml" ds:itemID="{6540FFB3-C103-4ECF-A399-917FCE9B74FF}"/>
</file>

<file path=customXml/itemProps2.xml><?xml version="1.0" encoding="utf-8"?>
<ds:datastoreItem xmlns:ds="http://schemas.openxmlformats.org/officeDocument/2006/customXml" ds:itemID="{983BECEA-D1EE-4F8D-9644-BC0322778CEC}"/>
</file>

<file path=customXml/itemProps3.xml><?xml version="1.0" encoding="utf-8"?>
<ds:datastoreItem xmlns:ds="http://schemas.openxmlformats.org/officeDocument/2006/customXml" ds:itemID="{B936E02A-EDA5-4CF3-9833-38EEDD810E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CR_Summary</vt:lpstr>
      <vt:lpstr>Requirement</vt:lpstr>
      <vt:lpstr>Assumption</vt:lpstr>
      <vt:lpstr>Input Data</vt:lpstr>
      <vt:lpstr>Indication 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2020-10-21T09:09:09Z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